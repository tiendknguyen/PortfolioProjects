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anhtien/Downloads/"/>
    </mc:Choice>
  </mc:AlternateContent>
  <xr:revisionPtr revIDLastSave="0" documentId="13_ncr:1_{ADBF2958-941F-6D4D-9BD3-4B0D8E922F44}" xr6:coauthVersionLast="47" xr6:coauthVersionMax="47" xr10:uidLastSave="{00000000-0000-0000-0000-000000000000}"/>
  <bookViews>
    <workbookView xWindow="0" yWindow="740" windowWidth="23120" windowHeight="18260" tabRatio="438" xr2:uid="{00000000-000D-0000-FFFF-FFFF00000000}"/>
  </bookViews>
  <sheets>
    <sheet name="Jones Model" sheetId="1" r:id="rId1"/>
    <sheet name="Q2" sheetId="9" state="hidden" r:id="rId2"/>
    <sheet name="Q3" sheetId="10" state="hidden" r:id="rId3"/>
    <sheet name="Q4" sheetId="11" state="hidden" r:id="rId4"/>
    <sheet name="Q5" sheetId="12" state="hidden" r:id="rId5"/>
    <sheet name="Q6 a) &amp; b)" sheetId="14" state="hidden" r:id="rId6"/>
    <sheet name="Q6 c)" sheetId="21" state="hidden" r:id="rId7"/>
    <sheet name="ROIC" sheetId="6" state="hidden" r:id="rId8"/>
    <sheet name="ROIC supp" sheetId="5" state="hidden" r:id="rId9"/>
    <sheet name="Sheet3" sheetId="18" state="hidden" r:id="rId10"/>
    <sheet name="Sheet2" sheetId="17" state="hidden" r:id="rId11"/>
    <sheet name="Sheet1" sheetId="16" state="hidden" r:id="rId12"/>
    <sheet name="FCF" sheetId="4" state="hidden" r:id="rId13"/>
    <sheet name="Balance Sheet" sheetId="2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" i="1" l="1"/>
  <c r="B96" i="1"/>
  <c r="C94" i="1"/>
  <c r="D94" i="1"/>
  <c r="B94" i="1"/>
  <c r="B13" i="1" l="1"/>
  <c r="C13" i="1"/>
  <c r="B14" i="1"/>
  <c r="C14" i="1"/>
  <c r="B15" i="1"/>
  <c r="C15" i="1"/>
  <c r="B16" i="1"/>
  <c r="C16" i="1"/>
  <c r="B17" i="1"/>
  <c r="C17" i="1"/>
  <c r="B18" i="1"/>
  <c r="B26" i="1" s="1"/>
  <c r="C18" i="1"/>
  <c r="C26" i="1" s="1"/>
  <c r="B19" i="1"/>
  <c r="D14" i="1"/>
  <c r="E14" i="1" s="1"/>
  <c r="D15" i="1"/>
  <c r="E15" i="1" s="1"/>
  <c r="D18" i="1"/>
  <c r="E18" i="1" s="1"/>
  <c r="D16" i="1"/>
  <c r="E16" i="1" s="1"/>
  <c r="E12" i="1"/>
  <c r="F12" i="1" s="1"/>
  <c r="G12" i="1" s="1"/>
  <c r="H12" i="1" s="1"/>
  <c r="I12" i="1" s="1"/>
  <c r="F10" i="1"/>
  <c r="G10" i="1" s="1"/>
  <c r="H10" i="1" s="1"/>
  <c r="I10" i="1" s="1"/>
  <c r="D26" i="1" l="1"/>
  <c r="D13" i="1"/>
  <c r="E13" i="1" s="1"/>
  <c r="D14" i="14" l="1"/>
  <c r="D2" i="11"/>
  <c r="B2" i="5" l="1"/>
  <c r="C2" i="5"/>
  <c r="F9" i="1"/>
  <c r="G9" i="1" s="1"/>
  <c r="H9" i="1" s="1"/>
  <c r="I9" i="1" s="1"/>
  <c r="F8" i="1"/>
  <c r="G8" i="1" s="1"/>
  <c r="H8" i="1" s="1"/>
  <c r="I8" i="1" s="1"/>
  <c r="F7" i="1"/>
  <c r="G7" i="1" s="1"/>
  <c r="H7" i="1" s="1"/>
  <c r="I7" i="1" s="1"/>
  <c r="D4" i="11" l="1"/>
  <c r="F1" i="6"/>
  <c r="G1" i="6" s="1"/>
  <c r="H1" i="6" s="1"/>
  <c r="I1" i="6" s="1"/>
  <c r="F4" i="1"/>
  <c r="G4" i="1" s="1"/>
  <c r="H4" i="1" s="1"/>
  <c r="I4" i="1" s="1"/>
  <c r="F38" i="1" l="1"/>
  <c r="G38" i="1" s="1"/>
  <c r="H38" i="1" s="1"/>
  <c r="I38" i="1" s="1"/>
  <c r="B42" i="1"/>
  <c r="B45" i="1"/>
  <c r="D2" i="5"/>
  <c r="F1" i="5"/>
  <c r="G1" i="5" s="1"/>
  <c r="H1" i="5" s="1"/>
  <c r="I1" i="5" s="1"/>
  <c r="D86" i="1"/>
  <c r="C86" i="1"/>
  <c r="F85" i="1"/>
  <c r="G85" i="1" s="1"/>
  <c r="H85" i="1" s="1"/>
  <c r="I85" i="1" s="1"/>
  <c r="F20" i="1" l="1"/>
  <c r="G20" i="1" s="1"/>
  <c r="H20" i="1" s="1"/>
  <c r="I20" i="1" s="1"/>
  <c r="D31" i="1" l="1"/>
  <c r="C31" i="1"/>
  <c r="C30" i="1" s="1"/>
  <c r="C19" i="1" s="1"/>
  <c r="D65" i="1" l="1"/>
  <c r="D87" i="1" s="1"/>
  <c r="D30" i="1"/>
  <c r="D19" i="1" s="1"/>
  <c r="E19" i="1" s="1"/>
  <c r="C65" i="1"/>
  <c r="D50" i="1" l="1"/>
  <c r="D96" i="1" s="1"/>
  <c r="E63" i="1"/>
  <c r="F63" i="1" s="1"/>
  <c r="G63" i="1" s="1"/>
  <c r="H63" i="1" s="1"/>
  <c r="I63" i="1" s="1"/>
  <c r="F11" i="1"/>
  <c r="G11" i="1" s="1"/>
  <c r="H11" i="1" s="1"/>
  <c r="I11" i="1" s="1"/>
  <c r="E25" i="1"/>
  <c r="F3" i="1"/>
  <c r="G3" i="1"/>
  <c r="H3" i="1"/>
  <c r="I3" i="1" s="1"/>
  <c r="F14" i="1"/>
  <c r="F15" i="1"/>
  <c r="G15" i="1" s="1"/>
  <c r="H15" i="1" s="1"/>
  <c r="I15" i="1" s="1"/>
  <c r="C42" i="1"/>
  <c r="D42" i="1"/>
  <c r="F17" i="1"/>
  <c r="G17" i="1" s="1"/>
  <c r="H17" i="1" s="1"/>
  <c r="I17" i="1" s="1"/>
  <c r="B47" i="1"/>
  <c r="C45" i="1"/>
  <c r="C3" i="6" s="1"/>
  <c r="D45" i="1"/>
  <c r="F18" i="1"/>
  <c r="E52" i="1"/>
  <c r="E54" i="1" s="1"/>
  <c r="E76" i="1" s="1"/>
  <c r="F19" i="1"/>
  <c r="G19" i="1" s="1"/>
  <c r="H19" i="1" s="1"/>
  <c r="I19" i="1" s="1"/>
  <c r="B53" i="1"/>
  <c r="B56" i="1" s="1"/>
  <c r="B60" i="1" s="1"/>
  <c r="C53" i="1"/>
  <c r="C56" i="1" s="1"/>
  <c r="C60" i="1" s="1"/>
  <c r="D17" i="1"/>
  <c r="C29" i="1"/>
  <c r="C91" i="1" s="1"/>
  <c r="D29" i="1"/>
  <c r="C66" i="1"/>
  <c r="D66" i="1"/>
  <c r="C67" i="1"/>
  <c r="D67" i="1"/>
  <c r="C68" i="1"/>
  <c r="D68" i="1"/>
  <c r="C69" i="1"/>
  <c r="D69" i="1"/>
  <c r="C72" i="1"/>
  <c r="C73" i="1" s="1"/>
  <c r="D72" i="1"/>
  <c r="D73" i="1" s="1"/>
  <c r="C75" i="1"/>
  <c r="C76" i="1"/>
  <c r="D76" i="1"/>
  <c r="C80" i="1"/>
  <c r="D80" i="1"/>
  <c r="E80" i="1"/>
  <c r="B25" i="4"/>
  <c r="B26" i="4"/>
  <c r="B27" i="4"/>
  <c r="B28" i="4"/>
  <c r="B23" i="4"/>
  <c r="B22" i="4"/>
  <c r="B4" i="4" s="1"/>
  <c r="B15" i="4"/>
  <c r="B16" i="4"/>
  <c r="B3" i="4"/>
  <c r="D1" i="4"/>
  <c r="E1" i="4" s="1"/>
  <c r="F1" i="4" s="1"/>
  <c r="G1" i="4" s="1"/>
  <c r="C59" i="2"/>
  <c r="C61" i="2"/>
  <c r="K19" i="2"/>
  <c r="B29" i="1"/>
  <c r="D6" i="1"/>
  <c r="E6" i="1" s="1"/>
  <c r="F6" i="1" s="1"/>
  <c r="G6" i="1" s="1"/>
  <c r="H6" i="1" s="1"/>
  <c r="I6" i="1" s="1"/>
  <c r="C6" i="1"/>
  <c r="B6" i="1"/>
  <c r="D4" i="1"/>
  <c r="C4" i="1"/>
  <c r="F24" i="1"/>
  <c r="G24" i="1" s="1"/>
  <c r="H24" i="1" s="1"/>
  <c r="I24" i="1" s="1"/>
  <c r="C47" i="1" l="1"/>
  <c r="C7" i="6" s="1"/>
  <c r="D34" i="1"/>
  <c r="D36" i="1" s="1"/>
  <c r="D64" i="1" s="1"/>
  <c r="D70" i="1" s="1"/>
  <c r="D91" i="1"/>
  <c r="D92" i="1" s="1"/>
  <c r="D100" i="1" s="1"/>
  <c r="B4" i="5"/>
  <c r="B5" i="5" s="1"/>
  <c r="B6" i="5" s="1"/>
  <c r="B91" i="1"/>
  <c r="B34" i="1"/>
  <c r="B7" i="1" s="1"/>
  <c r="G18" i="1"/>
  <c r="C2" i="18"/>
  <c r="E43" i="1"/>
  <c r="E40" i="1"/>
  <c r="E39" i="1"/>
  <c r="G14" i="1"/>
  <c r="C77" i="1"/>
  <c r="C4" i="5"/>
  <c r="C5" i="5" s="1"/>
  <c r="C6" i="5" s="1"/>
  <c r="C2" i="6" s="1"/>
  <c r="C34" i="1"/>
  <c r="C7" i="1" s="1"/>
  <c r="C6" i="16"/>
  <c r="C8" i="16" s="1"/>
  <c r="D4" i="5"/>
  <c r="D47" i="1"/>
  <c r="D7" i="6" s="1"/>
  <c r="B8" i="18"/>
  <c r="B8" i="17"/>
  <c r="B3" i="16"/>
  <c r="D3" i="6"/>
  <c r="D27" i="1"/>
  <c r="C5" i="6"/>
  <c r="D75" i="1"/>
  <c r="D77" i="1" s="1"/>
  <c r="B9" i="18"/>
  <c r="B9" i="17"/>
  <c r="B4" i="16"/>
  <c r="B2" i="4"/>
  <c r="B5" i="4" s="1"/>
  <c r="C12" i="16"/>
  <c r="C2" i="17"/>
  <c r="B36" i="1"/>
  <c r="F13" i="1"/>
  <c r="G13" i="1" s="1"/>
  <c r="H13" i="1" s="1"/>
  <c r="I13" i="1" s="1"/>
  <c r="B29" i="4"/>
  <c r="F52" i="1"/>
  <c r="F54" i="1" s="1"/>
  <c r="E32" i="1"/>
  <c r="F16" i="1"/>
  <c r="G16" i="1" s="1"/>
  <c r="H16" i="1" s="1"/>
  <c r="I16" i="1" s="1"/>
  <c r="K18" i="2"/>
  <c r="L18" i="2" s="1"/>
  <c r="D53" i="1"/>
  <c r="D56" i="1" s="1"/>
  <c r="D60" i="1" s="1"/>
  <c r="E30" i="1"/>
  <c r="F25" i="1"/>
  <c r="B92" i="1" l="1"/>
  <c r="B100" i="1" s="1"/>
  <c r="D7" i="1"/>
  <c r="D8" i="6"/>
  <c r="C92" i="1"/>
  <c r="C100" i="1" s="1"/>
  <c r="C36" i="1"/>
  <c r="C64" i="1" s="1"/>
  <c r="C70" i="1" s="1"/>
  <c r="C79" i="1" s="1"/>
  <c r="C81" i="1" s="1"/>
  <c r="E31" i="1"/>
  <c r="E44" i="1" s="1"/>
  <c r="C3" i="4" s="1"/>
  <c r="E51" i="1"/>
  <c r="C28" i="4" s="1"/>
  <c r="F43" i="1"/>
  <c r="F39" i="1"/>
  <c r="G80" i="1" s="1"/>
  <c r="F40" i="1"/>
  <c r="H18" i="1"/>
  <c r="H14" i="1"/>
  <c r="D2" i="18"/>
  <c r="D5" i="1"/>
  <c r="E5" i="1" s="1"/>
  <c r="F5" i="1" s="1"/>
  <c r="G5" i="1" s="1"/>
  <c r="H5" i="1" s="1"/>
  <c r="I5" i="1" s="1"/>
  <c r="B27" i="1"/>
  <c r="B5" i="1" s="1"/>
  <c r="C60" i="2"/>
  <c r="C62" i="2" s="1"/>
  <c r="D79" i="1"/>
  <c r="D81" i="1" s="1"/>
  <c r="C6" i="6"/>
  <c r="C4" i="6"/>
  <c r="C27" i="1"/>
  <c r="C5" i="1" s="1"/>
  <c r="D5" i="5"/>
  <c r="D6" i="5" s="1"/>
  <c r="D2" i="6" s="1"/>
  <c r="D6" i="6" s="1"/>
  <c r="D5" i="6"/>
  <c r="C16" i="16"/>
  <c r="D12" i="16"/>
  <c r="D2" i="17"/>
  <c r="E86" i="1"/>
  <c r="E87" i="1" s="1"/>
  <c r="F80" i="1"/>
  <c r="F76" i="1"/>
  <c r="G52" i="1"/>
  <c r="F32" i="1"/>
  <c r="E72" i="1"/>
  <c r="E73" i="1" s="1"/>
  <c r="C23" i="4"/>
  <c r="C9" i="4" s="1"/>
  <c r="C25" i="4"/>
  <c r="E66" i="1"/>
  <c r="G25" i="1"/>
  <c r="G40" i="1" s="1"/>
  <c r="F30" i="1"/>
  <c r="F51" i="1" s="1"/>
  <c r="C8" i="6" l="1"/>
  <c r="E45" i="1"/>
  <c r="E65" i="1"/>
  <c r="C22" i="4"/>
  <c r="C8" i="4" s="1"/>
  <c r="F31" i="1"/>
  <c r="E69" i="1"/>
  <c r="G39" i="1"/>
  <c r="H80" i="1" s="1"/>
  <c r="G43" i="1"/>
  <c r="G86" i="1" s="1"/>
  <c r="I18" i="1"/>
  <c r="I14" i="1"/>
  <c r="E26" i="1"/>
  <c r="E27" i="1" s="1"/>
  <c r="F26" i="1"/>
  <c r="E2" i="18"/>
  <c r="D4" i="6"/>
  <c r="E12" i="16"/>
  <c r="E2" i="17"/>
  <c r="F86" i="1"/>
  <c r="F87" i="1" s="1"/>
  <c r="F66" i="1"/>
  <c r="D25" i="4"/>
  <c r="H52" i="1"/>
  <c r="G54" i="1"/>
  <c r="F69" i="1"/>
  <c r="D28" i="4"/>
  <c r="G26" i="1"/>
  <c r="G30" i="1"/>
  <c r="G51" i="1" s="1"/>
  <c r="H25" i="1"/>
  <c r="H40" i="1" s="1"/>
  <c r="F72" i="1"/>
  <c r="F73" i="1" s="1"/>
  <c r="D23" i="4"/>
  <c r="D9" i="4" s="1"/>
  <c r="C4" i="4" l="1"/>
  <c r="G49" i="1"/>
  <c r="G27" i="1"/>
  <c r="G28" i="1" s="1"/>
  <c r="G41" i="1" s="1"/>
  <c r="F49" i="1"/>
  <c r="D27" i="4" s="1"/>
  <c r="F27" i="1"/>
  <c r="F28" i="1" s="1"/>
  <c r="F41" i="1" s="1"/>
  <c r="E49" i="1"/>
  <c r="E68" i="1" s="1"/>
  <c r="H39" i="1"/>
  <c r="I80" i="1" s="1"/>
  <c r="H43" i="1"/>
  <c r="E28" i="1"/>
  <c r="E41" i="1" s="1"/>
  <c r="F2" i="18"/>
  <c r="G31" i="1"/>
  <c r="F12" i="16"/>
  <c r="F2" i="17"/>
  <c r="G87" i="1"/>
  <c r="I52" i="1"/>
  <c r="H54" i="1"/>
  <c r="G76" i="1"/>
  <c r="G32" i="1"/>
  <c r="E23" i="4"/>
  <c r="E9" i="4" s="1"/>
  <c r="E25" i="4"/>
  <c r="G66" i="1"/>
  <c r="G72" i="1"/>
  <c r="G73" i="1" s="1"/>
  <c r="H26" i="1"/>
  <c r="H30" i="1"/>
  <c r="H51" i="1" s="1"/>
  <c r="I25" i="1"/>
  <c r="G69" i="1"/>
  <c r="E28" i="4"/>
  <c r="E94" i="1" l="1"/>
  <c r="H49" i="1"/>
  <c r="H27" i="1"/>
  <c r="H28" i="1" s="1"/>
  <c r="H41" i="1" s="1"/>
  <c r="F29" i="1"/>
  <c r="F68" i="1"/>
  <c r="I39" i="1"/>
  <c r="I43" i="1"/>
  <c r="C27" i="4"/>
  <c r="I40" i="1"/>
  <c r="E29" i="1"/>
  <c r="G2" i="18"/>
  <c r="H31" i="1"/>
  <c r="C8" i="17"/>
  <c r="C8" i="18"/>
  <c r="C10" i="18" s="1"/>
  <c r="C15" i="18" s="1"/>
  <c r="G12" i="16"/>
  <c r="G2" i="17"/>
  <c r="E3" i="6"/>
  <c r="E5" i="6" s="1"/>
  <c r="C3" i="16"/>
  <c r="C10" i="16" s="1"/>
  <c r="D26" i="4"/>
  <c r="D29" i="4" s="1"/>
  <c r="E42" i="1"/>
  <c r="F42" i="1"/>
  <c r="G29" i="1"/>
  <c r="C26" i="4"/>
  <c r="F67" i="1"/>
  <c r="E2" i="5"/>
  <c r="E67" i="1"/>
  <c r="H76" i="1"/>
  <c r="I54" i="1"/>
  <c r="I76" i="1" s="1"/>
  <c r="H32" i="1"/>
  <c r="H72" i="1"/>
  <c r="H73" i="1" s="1"/>
  <c r="H86" i="1"/>
  <c r="H87" i="1" s="1"/>
  <c r="G68" i="1"/>
  <c r="E27" i="4"/>
  <c r="F28" i="4"/>
  <c r="H69" i="1"/>
  <c r="F25" i="4"/>
  <c r="I26" i="1"/>
  <c r="I30" i="1"/>
  <c r="I51" i="1" s="1"/>
  <c r="F23" i="4"/>
  <c r="F9" i="4" s="1"/>
  <c r="H66" i="1"/>
  <c r="E4" i="18" l="1"/>
  <c r="E5" i="18" s="1"/>
  <c r="E6" i="18" s="1"/>
  <c r="E14" i="18" s="1"/>
  <c r="G91" i="1"/>
  <c r="D4" i="18"/>
  <c r="D5" i="18" s="1"/>
  <c r="D6" i="18" s="1"/>
  <c r="D14" i="18" s="1"/>
  <c r="F91" i="1"/>
  <c r="C4" i="18"/>
  <c r="C5" i="18" s="1"/>
  <c r="C6" i="18" s="1"/>
  <c r="C14" i="18" s="1"/>
  <c r="C16" i="18" s="1"/>
  <c r="E91" i="1"/>
  <c r="I49" i="1"/>
  <c r="I27" i="1"/>
  <c r="I28" i="1" s="1"/>
  <c r="I41" i="1" s="1"/>
  <c r="C29" i="4"/>
  <c r="C30" i="4" s="1"/>
  <c r="C10" i="4" s="1"/>
  <c r="D4" i="17"/>
  <c r="D5" i="17" s="1"/>
  <c r="D6" i="17" s="1"/>
  <c r="D15" i="17" s="1"/>
  <c r="E6" i="16"/>
  <c r="E8" i="16" s="1"/>
  <c r="E16" i="16" s="1"/>
  <c r="D2" i="4"/>
  <c r="C2" i="4"/>
  <c r="C5" i="4" s="1"/>
  <c r="C6" i="4" s="1"/>
  <c r="C7" i="4" s="1"/>
  <c r="E4" i="5"/>
  <c r="E5" i="5" s="1"/>
  <c r="E6" i="5" s="1"/>
  <c r="E2" i="6" s="1"/>
  <c r="E4" i="6" s="1"/>
  <c r="C4" i="17"/>
  <c r="C5" i="17" s="1"/>
  <c r="C6" i="17" s="1"/>
  <c r="C15" i="17" s="1"/>
  <c r="D6" i="16"/>
  <c r="D8" i="16" s="1"/>
  <c r="D16" i="16" s="1"/>
  <c r="I31" i="1"/>
  <c r="I32" i="1"/>
  <c r="F6" i="16"/>
  <c r="F8" i="16" s="1"/>
  <c r="F16" i="16" s="1"/>
  <c r="E4" i="17"/>
  <c r="E26" i="4"/>
  <c r="E29" i="4" s="1"/>
  <c r="E30" i="4" s="1"/>
  <c r="E10" i="4" s="1"/>
  <c r="F4" i="5"/>
  <c r="G67" i="1"/>
  <c r="G42" i="1"/>
  <c r="F44" i="1"/>
  <c r="E47" i="1"/>
  <c r="E2" i="4"/>
  <c r="H29" i="1"/>
  <c r="G25" i="4"/>
  <c r="I72" i="1"/>
  <c r="I73" i="1" s="1"/>
  <c r="I86" i="1"/>
  <c r="I87" i="1" s="1"/>
  <c r="F65" i="1"/>
  <c r="G23" i="4"/>
  <c r="G9" i="4" s="1"/>
  <c r="H68" i="1"/>
  <c r="F27" i="4"/>
  <c r="I66" i="1"/>
  <c r="G28" i="4"/>
  <c r="I69" i="1"/>
  <c r="F2" i="5" l="1"/>
  <c r="F94" i="1"/>
  <c r="C12" i="18"/>
  <c r="F4" i="18"/>
  <c r="F5" i="18" s="1"/>
  <c r="F6" i="18" s="1"/>
  <c r="F14" i="18" s="1"/>
  <c r="H91" i="1"/>
  <c r="D30" i="4"/>
  <c r="D10" i="4" s="1"/>
  <c r="C11" i="4"/>
  <c r="C13" i="4" s="1"/>
  <c r="E5" i="17"/>
  <c r="E6" i="17" s="1"/>
  <c r="E15" i="17" s="1"/>
  <c r="G6" i="16"/>
  <c r="G8" i="16" s="1"/>
  <c r="G16" i="16" s="1"/>
  <c r="F4" i="17"/>
  <c r="H67" i="1"/>
  <c r="E6" i="6"/>
  <c r="F5" i="5"/>
  <c r="F6" i="5" s="1"/>
  <c r="F2" i="6" s="1"/>
  <c r="F6" i="6" s="1"/>
  <c r="G4" i="5"/>
  <c r="D22" i="4"/>
  <c r="D8" i="4" s="1"/>
  <c r="F45" i="1"/>
  <c r="D3" i="4"/>
  <c r="G65" i="1"/>
  <c r="F2" i="4"/>
  <c r="H42" i="1"/>
  <c r="F26" i="4"/>
  <c r="F29" i="4" s="1"/>
  <c r="F30" i="4" s="1"/>
  <c r="F10" i="4" s="1"/>
  <c r="I29" i="1"/>
  <c r="I91" i="1" s="1"/>
  <c r="G44" i="1"/>
  <c r="I68" i="1"/>
  <c r="G27" i="4"/>
  <c r="G2" i="5" l="1"/>
  <c r="G94" i="1"/>
  <c r="D8" i="17"/>
  <c r="D8" i="18"/>
  <c r="D10" i="18" s="1"/>
  <c r="G4" i="17"/>
  <c r="G5" i="17" s="1"/>
  <c r="G6" i="17" s="1"/>
  <c r="G15" i="17" s="1"/>
  <c r="G4" i="18"/>
  <c r="F5" i="17"/>
  <c r="F6" i="17" s="1"/>
  <c r="F15" i="17" s="1"/>
  <c r="G26" i="4"/>
  <c r="G29" i="4" s="1"/>
  <c r="G30" i="4" s="1"/>
  <c r="G10" i="4" s="1"/>
  <c r="F3" i="6"/>
  <c r="F4" i="6" s="1"/>
  <c r="D3" i="16"/>
  <c r="G5" i="5"/>
  <c r="G6" i="5" s="1"/>
  <c r="G2" i="6" s="1"/>
  <c r="G6" i="6" s="1"/>
  <c r="H4" i="5"/>
  <c r="D4" i="4"/>
  <c r="D5" i="4" s="1"/>
  <c r="D6" i="4" s="1"/>
  <c r="D7" i="4" s="1"/>
  <c r="D11" i="4" s="1"/>
  <c r="D13" i="4" s="1"/>
  <c r="F47" i="1"/>
  <c r="H65" i="1"/>
  <c r="G2" i="4"/>
  <c r="I67" i="1"/>
  <c r="I42" i="1"/>
  <c r="H44" i="1"/>
  <c r="E3" i="4"/>
  <c r="E22" i="4"/>
  <c r="G45" i="1"/>
  <c r="H2" i="5" l="1"/>
  <c r="H94" i="1"/>
  <c r="D12" i="18"/>
  <c r="D15" i="18"/>
  <c r="D16" i="18" s="1"/>
  <c r="E8" i="17"/>
  <c r="E8" i="18"/>
  <c r="E10" i="18" s="1"/>
  <c r="G5" i="18"/>
  <c r="G6" i="18" s="1"/>
  <c r="G14" i="18" s="1"/>
  <c r="D10" i="16"/>
  <c r="G3" i="6"/>
  <c r="G5" i="6" s="1"/>
  <c r="E3" i="16"/>
  <c r="F5" i="6"/>
  <c r="H5" i="5"/>
  <c r="H6" i="5" s="1"/>
  <c r="H2" i="6" s="1"/>
  <c r="H6" i="6" s="1"/>
  <c r="I4" i="5"/>
  <c r="I65" i="1"/>
  <c r="G47" i="1"/>
  <c r="E4" i="4"/>
  <c r="E5" i="4" s="1"/>
  <c r="E6" i="4" s="1"/>
  <c r="E7" i="4" s="1"/>
  <c r="E8" i="4"/>
  <c r="I44" i="1"/>
  <c r="I94" i="1" s="1"/>
  <c r="F3" i="4"/>
  <c r="F22" i="4"/>
  <c r="H45" i="1"/>
  <c r="I2" i="5" l="1"/>
  <c r="E12" i="18"/>
  <c r="E15" i="18"/>
  <c r="E16" i="18" s="1"/>
  <c r="F8" i="17"/>
  <c r="F8" i="18"/>
  <c r="F10" i="18" s="1"/>
  <c r="E10" i="16"/>
  <c r="G4" i="6"/>
  <c r="H3" i="6"/>
  <c r="H5" i="6" s="1"/>
  <c r="F3" i="16"/>
  <c r="I5" i="5"/>
  <c r="I6" i="5" s="1"/>
  <c r="I2" i="6" s="1"/>
  <c r="I6" i="6" s="1"/>
  <c r="H47" i="1"/>
  <c r="G3" i="4"/>
  <c r="G22" i="4"/>
  <c r="I45" i="1"/>
  <c r="F4" i="4"/>
  <c r="F5" i="4" s="1"/>
  <c r="F6" i="4" s="1"/>
  <c r="F7" i="4" s="1"/>
  <c r="F8" i="4"/>
  <c r="E11" i="4"/>
  <c r="E13" i="4" s="1"/>
  <c r="F12" i="18" l="1"/>
  <c r="F15" i="18"/>
  <c r="F16" i="18" s="1"/>
  <c r="G8" i="17"/>
  <c r="G8" i="18"/>
  <c r="G10" i="18" s="1"/>
  <c r="F10" i="16"/>
  <c r="H4" i="6"/>
  <c r="I3" i="6"/>
  <c r="I4" i="6" s="1"/>
  <c r="G3" i="16"/>
  <c r="G10" i="16" s="1"/>
  <c r="I47" i="1"/>
  <c r="F11" i="4"/>
  <c r="G4" i="4"/>
  <c r="G5" i="4" s="1"/>
  <c r="G6" i="4" s="1"/>
  <c r="G7" i="4" s="1"/>
  <c r="G8" i="4"/>
  <c r="G12" i="18" l="1"/>
  <c r="G15" i="18"/>
  <c r="G16" i="18" s="1"/>
  <c r="I5" i="6"/>
  <c r="G11" i="4"/>
  <c r="F12" i="4" s="1"/>
  <c r="F13" i="4" s="1"/>
  <c r="B14" i="4" s="1"/>
  <c r="B17" i="4" s="1"/>
  <c r="G100" i="1" l="1"/>
  <c r="G92" i="1"/>
  <c r="G35" i="1"/>
  <c r="G35" i="1" a="1"/>
  <c r="D18" i="16"/>
  <c r="D14" i="16"/>
  <c r="D5" i="16"/>
  <c r="D4" i="16"/>
  <c r="G81" i="1"/>
  <c r="G79" i="1"/>
  <c r="G77" i="1"/>
  <c r="G75" i="1"/>
  <c r="C17" i="17"/>
  <c r="C16" i="17"/>
  <c r="C18" i="16"/>
  <c r="C14" i="16"/>
  <c r="C5" i="16"/>
  <c r="C4" i="16"/>
  <c r="F35" i="1"/>
  <c r="G56" i="1"/>
  <c r="G53" i="1"/>
  <c r="H8" i="6"/>
  <c r="I81" i="1"/>
  <c r="I75" i="1"/>
  <c r="I77" i="1"/>
  <c r="I79" i="1"/>
  <c r="I98" i="1"/>
  <c r="G17" i="17"/>
  <c r="G16" i="17"/>
  <c r="E4" i="16"/>
  <c r="E5" i="16"/>
  <c r="E14" i="16"/>
  <c r="E18" i="16"/>
  <c r="E35" i="1"/>
  <c r="H36" i="1"/>
  <c r="H64" i="1"/>
  <c r="H70" i="1"/>
  <c r="F35" i="1" a="1"/>
  <c r="F92" i="1"/>
  <c r="F100" i="1"/>
  <c r="F56" i="1"/>
  <c r="F53" i="1"/>
  <c r="N18" i="2"/>
  <c r="M18" i="2"/>
  <c r="F17" i="17"/>
  <c r="F16" i="17"/>
  <c r="F4" i="16"/>
  <c r="F5" i="16"/>
  <c r="F14" i="16"/>
  <c r="F18" i="16"/>
  <c r="H56" i="1"/>
  <c r="H53" i="1"/>
  <c r="H35" i="1"/>
  <c r="H81" i="1"/>
  <c r="H79" i="1"/>
  <c r="H77" i="1"/>
  <c r="H75" i="1"/>
  <c r="H98" i="1"/>
  <c r="F8" i="6"/>
  <c r="G70" i="1"/>
  <c r="G64" i="1"/>
  <c r="F9" i="17"/>
  <c r="F11" i="17"/>
  <c r="F13" i="17"/>
  <c r="H33" i="1"/>
  <c r="H34" i="1"/>
  <c r="H35" i="1" a="1"/>
  <c r="H92" i="1"/>
  <c r="H100" i="1"/>
  <c r="E75" i="1"/>
  <c r="E77" i="1"/>
  <c r="E79" i="1"/>
  <c r="E81" i="1"/>
  <c r="I56" i="1"/>
  <c r="I53" i="1"/>
  <c r="F36" i="1"/>
  <c r="F64" i="1"/>
  <c r="F70" i="1"/>
  <c r="E8" i="6"/>
  <c r="P179" i="1"/>
  <c r="E35" i="1" a="1"/>
  <c r="E92" i="1"/>
  <c r="E100" i="1"/>
  <c r="C9" i="17"/>
  <c r="C11" i="17"/>
  <c r="C13" i="17"/>
  <c r="G36" i="1"/>
  <c r="G8" i="6"/>
  <c r="I35" i="1"/>
  <c r="H96" i="1"/>
  <c r="F9" i="18"/>
  <c r="D13" i="17"/>
  <c r="E60" i="1"/>
  <c r="E7" i="6"/>
  <c r="E98" i="1"/>
  <c r="G33" i="1"/>
  <c r="G34" i="1"/>
  <c r="G98" i="1"/>
  <c r="E17" i="17"/>
  <c r="E16" i="17"/>
  <c r="E56" i="1"/>
  <c r="E53" i="1"/>
  <c r="G4" i="16"/>
  <c r="G5" i="16"/>
  <c r="G14" i="16"/>
  <c r="G18" i="16"/>
  <c r="E64" i="1"/>
  <c r="E70" i="1"/>
  <c r="I70" i="1"/>
  <c r="I64" i="1"/>
  <c r="P161" i="1"/>
  <c r="P171" i="1"/>
  <c r="K24" i="2"/>
  <c r="I96" i="1"/>
  <c r="G9" i="18"/>
  <c r="L21" i="1"/>
  <c r="I35" i="1" a="1"/>
  <c r="I92" i="1"/>
  <c r="I100" i="1"/>
  <c r="F60" i="1"/>
  <c r="F7" i="6"/>
  <c r="G7" i="6"/>
  <c r="G60" i="1"/>
  <c r="K21" i="1"/>
  <c r="E96" i="1"/>
  <c r="C9" i="18"/>
  <c r="P187" i="1"/>
  <c r="F75" i="1"/>
  <c r="F77" i="1"/>
  <c r="F79" i="1"/>
  <c r="F81" i="1"/>
  <c r="E9" i="18"/>
  <c r="G96" i="1"/>
  <c r="I50" i="1"/>
  <c r="G9" i="17"/>
  <c r="G11" i="17"/>
  <c r="G13" i="17"/>
  <c r="H60" i="1"/>
  <c r="H7" i="6"/>
  <c r="M19" i="2"/>
  <c r="I60" i="1"/>
  <c r="I58" i="1"/>
  <c r="I7" i="6"/>
  <c r="G50" i="1"/>
  <c r="E9" i="17"/>
  <c r="E11" i="17"/>
  <c r="E13" i="17"/>
  <c r="F96" i="1"/>
  <c r="D9" i="18"/>
  <c r="F33" i="1"/>
  <c r="F34" i="1"/>
  <c r="F98" i="1"/>
  <c r="G58" i="1"/>
  <c r="H58" i="1"/>
  <c r="H50" i="1"/>
  <c r="I33" i="1"/>
  <c r="I34" i="1"/>
  <c r="I36" i="1"/>
  <c r="I8" i="6"/>
  <c r="E50" i="1"/>
  <c r="E33" i="1"/>
  <c r="E34" i="1"/>
  <c r="E36" i="1"/>
  <c r="E58" i="1"/>
  <c r="F58" i="1"/>
  <c r="F50" i="1"/>
  <c r="D9" i="17"/>
  <c r="D11" i="17"/>
  <c r="D16" i="17"/>
  <c r="D17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<sst xmlns="http://schemas.openxmlformats.org/spreadsheetml/2006/main" count="246" uniqueCount="179">
  <si>
    <t>Net Sales</t>
  </si>
  <si>
    <t>Gross Profit</t>
  </si>
  <si>
    <t>Operating Expense</t>
  </si>
  <si>
    <t>Net Income</t>
  </si>
  <si>
    <t>Provision for Income Tax</t>
  </si>
  <si>
    <t>Net Income before tax</t>
  </si>
  <si>
    <t>Cash</t>
  </si>
  <si>
    <t>A/R</t>
  </si>
  <si>
    <t>Inventory</t>
  </si>
  <si>
    <t>Total Current Assets</t>
  </si>
  <si>
    <t>Accumulated Dep</t>
  </si>
  <si>
    <t>Net PPE</t>
  </si>
  <si>
    <t>Total Assets</t>
  </si>
  <si>
    <t>A/P</t>
  </si>
  <si>
    <t>Line of Credit Payable</t>
  </si>
  <si>
    <t>Accrued exp</t>
  </si>
  <si>
    <t>long term debt, current</t>
  </si>
  <si>
    <t>Current Liabilities</t>
  </si>
  <si>
    <t>LTD</t>
  </si>
  <si>
    <t>Total Liabilities</t>
  </si>
  <si>
    <t>Net Worth</t>
  </si>
  <si>
    <t>Total Liabilities &amp; Net worth</t>
  </si>
  <si>
    <t>Sales Growth</t>
  </si>
  <si>
    <t>Operating Expenses/Sales</t>
  </si>
  <si>
    <t>DSO ((A/R)/(Sales/365))</t>
  </si>
  <si>
    <t>Depreciation</t>
  </si>
  <si>
    <t>Gross PPE/Sales</t>
  </si>
  <si>
    <t>DPO ((A/P)/(COGS/365))</t>
  </si>
  <si>
    <t>Accrued Exp/Sales</t>
  </si>
  <si>
    <t>Acc. Depr/Gross PPE</t>
  </si>
  <si>
    <t>Int Exp (New LOC)</t>
  </si>
  <si>
    <t>Int Exp Loan</t>
  </si>
  <si>
    <t>Int Exp New LOC</t>
  </si>
  <si>
    <t>EBIT</t>
  </si>
  <si>
    <t>Less Depreciation</t>
  </si>
  <si>
    <t>Less Operating Exp (Excl Depr)</t>
  </si>
  <si>
    <t>Less Taxes</t>
  </si>
  <si>
    <t>Taxes on EBIT</t>
  </si>
  <si>
    <t>NOPAT</t>
  </si>
  <si>
    <t>Add Depreciation</t>
  </si>
  <si>
    <t>CAPEX</t>
  </si>
  <si>
    <t>NWC</t>
  </si>
  <si>
    <t>Inv</t>
  </si>
  <si>
    <t>Accured Exp</t>
  </si>
  <si>
    <t>Total NWC</t>
  </si>
  <si>
    <t>Change NWC</t>
  </si>
  <si>
    <t>Less CAPEX</t>
  </si>
  <si>
    <t>Less Change NWC</t>
  </si>
  <si>
    <t>FCF</t>
  </si>
  <si>
    <t>Terminal Value Growth Rate</t>
  </si>
  <si>
    <t>WACC</t>
  </si>
  <si>
    <t>Terminal Value</t>
  </si>
  <si>
    <t>FCF + TV</t>
  </si>
  <si>
    <t>Less Debt</t>
  </si>
  <si>
    <t>Enterprise Value</t>
  </si>
  <si>
    <t>Add Cash</t>
  </si>
  <si>
    <t>Equity Value</t>
  </si>
  <si>
    <t>Net COGS</t>
  </si>
  <si>
    <t>Purchases</t>
  </si>
  <si>
    <t>Cash Flows</t>
  </si>
  <si>
    <t>Depreciation Exp</t>
  </si>
  <si>
    <t>Change in A/R</t>
  </si>
  <si>
    <t>Change in Inventory</t>
  </si>
  <si>
    <t>change in A/P</t>
  </si>
  <si>
    <t>change in accrued exp</t>
  </si>
  <si>
    <t>CF From Investment</t>
  </si>
  <si>
    <t>CF from Operations</t>
  </si>
  <si>
    <t>change in debt</t>
  </si>
  <si>
    <t>CF from Financing</t>
  </si>
  <si>
    <t>Total Change in Cash</t>
  </si>
  <si>
    <t>Beginning Cash</t>
  </si>
  <si>
    <t>Ending Cash</t>
  </si>
  <si>
    <t>Beg Inv</t>
  </si>
  <si>
    <t>COGS</t>
  </si>
  <si>
    <t>Ending Inv</t>
  </si>
  <si>
    <t>D</t>
  </si>
  <si>
    <t>E</t>
  </si>
  <si>
    <t>on</t>
  </si>
  <si>
    <t>recursive</t>
  </si>
  <si>
    <t>Historical</t>
  </si>
  <si>
    <t>Projected</t>
  </si>
  <si>
    <t>Assumptions</t>
  </si>
  <si>
    <t>Income Statement</t>
  </si>
  <si>
    <t>DSO</t>
  </si>
  <si>
    <t>DSI</t>
  </si>
  <si>
    <t>LOC 2012</t>
  </si>
  <si>
    <t>Profit 2012</t>
  </si>
  <si>
    <t>LOC 2007</t>
  </si>
  <si>
    <t>sales growth</t>
  </si>
  <si>
    <t>DPO</t>
  </si>
  <si>
    <t>2011 LOC</t>
  </si>
  <si>
    <t>DSI ((Inv/(COGS/365))</t>
  </si>
  <si>
    <t>COGS(net)/Sales</t>
  </si>
  <si>
    <t>Int Exp (Loan)</t>
  </si>
  <si>
    <t>Purchase Discount</t>
  </si>
  <si>
    <t>z</t>
  </si>
  <si>
    <t>Depreciation expenses</t>
  </si>
  <si>
    <t>Depreciation Useful Life</t>
  </si>
  <si>
    <t>IC (avg)</t>
  </si>
  <si>
    <t>ROIC</t>
  </si>
  <si>
    <t>Invested Capial Turnover</t>
  </si>
  <si>
    <t>After-tax operarting margin</t>
  </si>
  <si>
    <t>Leverage Ratio</t>
  </si>
  <si>
    <t>Return on Equity</t>
  </si>
  <si>
    <t>LOC</t>
  </si>
  <si>
    <t>a)</t>
  </si>
  <si>
    <t>If the company wants to obtain purchase discounts, they will need &gt; $350k in 2007.</t>
  </si>
  <si>
    <t xml:space="preserve">b)  </t>
  </si>
  <si>
    <t>At the current trends, it will not be paid off.  However, if you begin to slow growth, you may be able to limit the growth and even pay it down.</t>
  </si>
  <si>
    <t xml:space="preserve">c)  </t>
  </si>
  <si>
    <t>Inventory and accounts receviable investments.</t>
  </si>
  <si>
    <t>2011 NI</t>
  </si>
  <si>
    <t>DPO = 24</t>
  </si>
  <si>
    <t>DPO = 9</t>
  </si>
  <si>
    <t>% change</t>
  </si>
  <si>
    <t>DPO=24</t>
  </si>
  <si>
    <t>DPO=9</t>
  </si>
  <si>
    <t>Tax/Net Income Before Tax ($40k&lt;tax inc&lt;$60k)</t>
  </si>
  <si>
    <t>Tax/Net Income Before Tax (tax inc&lt;$40k)</t>
  </si>
  <si>
    <t>Tax/Net Income Before Tax (tax inc&gt;$60k)</t>
  </si>
  <si>
    <t>Tax</t>
  </si>
  <si>
    <t>COGS/Sales</t>
  </si>
  <si>
    <t>Always hard to predict</t>
  </si>
  <si>
    <t>Predicated on getting discounts</t>
  </si>
  <si>
    <t>May vary depending on line</t>
  </si>
  <si>
    <t>Can this be improved?</t>
  </si>
  <si>
    <t>Excess capacity?</t>
  </si>
  <si>
    <t>Making an assumption that useful life will be much higher than hist.</t>
  </si>
  <si>
    <t>Assumes DPO = 9 days</t>
  </si>
  <si>
    <t>Assumes DPO = 24 days</t>
  </si>
  <si>
    <t>2)</t>
  </si>
  <si>
    <t>1)</t>
  </si>
  <si>
    <t>Base</t>
  </si>
  <si>
    <t>Created by John W Molloy on 9/24/2017</t>
  </si>
  <si>
    <t>Best</t>
  </si>
  <si>
    <t>Worst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</si>
  <si>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</si>
  <si>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</si>
  <si>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</si>
  <si>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</si>
  <si>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</si>
  <si>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</si>
  <si>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</si>
  <si>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COGS%Sales</t>
  </si>
  <si>
    <t>Gross PPE</t>
  </si>
  <si>
    <t>Invested Capital - Operating</t>
  </si>
  <si>
    <t>Invested Capital - Financial</t>
  </si>
  <si>
    <t>tax</t>
  </si>
  <si>
    <t>Return on Invested Capital (ROIC)</t>
  </si>
  <si>
    <t>Sales</t>
  </si>
  <si>
    <t>Invested Capital Turnover</t>
  </si>
  <si>
    <t>Average Invested Capital</t>
  </si>
  <si>
    <t>After-tax Operating Margin</t>
  </si>
  <si>
    <t>tax (.35)</t>
  </si>
  <si>
    <t>nopat</t>
  </si>
  <si>
    <t>Invested Capital - OPERATING</t>
  </si>
  <si>
    <t>Invested Capital - FINANCING</t>
  </si>
  <si>
    <t>OperExp%sales</t>
  </si>
  <si>
    <t>Invested Capital-Operating</t>
  </si>
  <si>
    <t>Invested Capital-Financing</t>
  </si>
  <si>
    <t>Gross PPE%Sales</t>
  </si>
  <si>
    <t>OpExp%Sales</t>
  </si>
  <si>
    <t>$E$14</t>
  </si>
  <si>
    <t>$E$5</t>
  </si>
  <si>
    <t>$E$15</t>
  </si>
  <si>
    <t>$I$50</t>
  </si>
  <si>
    <t>Created by John W Molloy on 9/24/2017
Modified by John W Molloy on 9/18/2018</t>
  </si>
  <si>
    <t>change in LOC</t>
  </si>
  <si>
    <t>Invested Capital</t>
  </si>
  <si>
    <t>ON</t>
  </si>
  <si>
    <t>Iterative Calculation for LOC (On/Off)</t>
  </si>
  <si>
    <t>Accrued Exp/Op Exp</t>
  </si>
  <si>
    <t>Taxes using IF</t>
  </si>
  <si>
    <t>2006 LOC</t>
  </si>
  <si>
    <t>COGS (W/O Purchase Discount if Applicable)</t>
  </si>
  <si>
    <t>ROIC = NOPAT / Invested Capital</t>
  </si>
  <si>
    <t>NOPAT = EBIT * (1- TaxRate)</t>
  </si>
  <si>
    <t>Invested Capital (Operating Method)</t>
  </si>
  <si>
    <t>Invested Capital (Financing Method)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</si>
</sst>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0.0000000000000000%"/>
    <numFmt numFmtId="167" formatCode="_(* #,##0_);_(* \(#,##0\);_(* &quot;-&quot;??_);_(@_)"/>
    <numFmt numFmtId="168" formatCode="0.000000000000000%"/>
    <numFmt numFmtId="169" formatCode="_(* #,##0.0_);_(* \(#,##0.0\);_(* &quot;-&quot;??_);_(@_)"/>
    <numFmt numFmtId="170" formatCode="_(* #,##0.0000_);_(* \(#,##0.0000\);_(* &quot;-&quot;??_);_(@_)"/>
    <numFmt numFmtId="171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0" xfId="0" applyFont="1" applyFill="1"/>
    <xf numFmtId="10" fontId="0" fillId="0" borderId="0" xfId="2" applyNumberFormat="1" applyFont="1"/>
    <xf numFmtId="43" fontId="2" fillId="2" borderId="1" xfId="1" applyFont="1" applyFill="1" applyBorder="1"/>
    <xf numFmtId="43" fontId="2" fillId="3" borderId="1" xfId="1" applyFont="1" applyFill="1" applyBorder="1"/>
    <xf numFmtId="0" fontId="2" fillId="0" borderId="2" xfId="0" applyFont="1" applyBorder="1"/>
    <xf numFmtId="0" fontId="2" fillId="0" borderId="0" xfId="0" applyFont="1"/>
    <xf numFmtId="43" fontId="0" fillId="2" borderId="0" xfId="0" applyNumberFormat="1" applyFill="1"/>
    <xf numFmtId="43" fontId="0" fillId="0" borderId="0" xfId="0" applyNumberFormat="1"/>
    <xf numFmtId="43" fontId="2" fillId="2" borderId="1" xfId="0" applyNumberFormat="1" applyFont="1" applyFill="1" applyBorder="1"/>
    <xf numFmtId="43" fontId="0" fillId="0" borderId="0" xfId="1" applyFont="1" applyFill="1"/>
    <xf numFmtId="8" fontId="0" fillId="0" borderId="0" xfId="0" applyNumberFormat="1"/>
    <xf numFmtId="43" fontId="2" fillId="2" borderId="2" xfId="0" applyNumberFormat="1" applyFont="1" applyFill="1" applyBorder="1"/>
    <xf numFmtId="43" fontId="2" fillId="0" borderId="0" xfId="1" applyFont="1" applyFill="1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0" fillId="0" borderId="13" xfId="0" applyBorder="1"/>
    <xf numFmtId="10" fontId="0" fillId="2" borderId="5" xfId="2" applyNumberFormat="1" applyFont="1" applyFill="1" applyBorder="1"/>
    <xf numFmtId="10" fontId="0" fillId="3" borderId="5" xfId="2" applyNumberFormat="1" applyFont="1" applyFill="1" applyBorder="1"/>
    <xf numFmtId="10" fontId="0" fillId="2" borderId="6" xfId="2" applyNumberFormat="1" applyFont="1" applyFill="1" applyBorder="1"/>
    <xf numFmtId="43" fontId="0" fillId="0" borderId="1" xfId="1" applyFont="1" applyFill="1" applyBorder="1"/>
    <xf numFmtId="0" fontId="2" fillId="0" borderId="7" xfId="0" applyFon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2" fillId="4" borderId="2" xfId="0" applyFont="1" applyFill="1" applyBorder="1"/>
    <xf numFmtId="8" fontId="2" fillId="4" borderId="2" xfId="0" applyNumberFormat="1" applyFont="1" applyFill="1" applyBorder="1"/>
    <xf numFmtId="0" fontId="2" fillId="3" borderId="0" xfId="0" applyFont="1" applyFill="1"/>
    <xf numFmtId="43" fontId="0" fillId="3" borderId="0" xfId="0" applyNumberFormat="1" applyFill="1"/>
    <xf numFmtId="43" fontId="2" fillId="3" borderId="1" xfId="0" applyNumberFormat="1" applyFont="1" applyFill="1" applyBorder="1"/>
    <xf numFmtId="0" fontId="2" fillId="3" borderId="1" xfId="0" applyFont="1" applyFill="1" applyBorder="1"/>
    <xf numFmtId="0" fontId="0" fillId="3" borderId="0" xfId="0" applyFill="1"/>
    <xf numFmtId="0" fontId="2" fillId="3" borderId="2" xfId="0" applyFont="1" applyFill="1" applyBorder="1"/>
    <xf numFmtId="43" fontId="0" fillId="2" borderId="8" xfId="0" applyNumberFormat="1" applyFill="1" applyBorder="1"/>
    <xf numFmtId="0" fontId="0" fillId="2" borderId="0" xfId="0" applyFill="1"/>
    <xf numFmtId="0" fontId="0" fillId="2" borderId="8" xfId="0" applyFill="1" applyBorder="1"/>
    <xf numFmtId="43" fontId="2" fillId="2" borderId="0" xfId="0" applyNumberFormat="1" applyFont="1" applyFill="1"/>
    <xf numFmtId="43" fontId="2" fillId="2" borderId="8" xfId="0" applyNumberFormat="1" applyFont="1" applyFill="1" applyBorder="1"/>
    <xf numFmtId="10" fontId="2" fillId="0" borderId="0" xfId="2" applyNumberFormat="1" applyFont="1" applyBorder="1"/>
    <xf numFmtId="0" fontId="2" fillId="0" borderId="9" xfId="0" applyFont="1" applyBorder="1"/>
    <xf numFmtId="10" fontId="2" fillId="0" borderId="10" xfId="2" applyNumberFormat="1" applyFont="1" applyBorder="1"/>
    <xf numFmtId="0" fontId="0" fillId="0" borderId="12" xfId="0" applyBorder="1"/>
    <xf numFmtId="43" fontId="0" fillId="0" borderId="12" xfId="0" applyNumberFormat="1" applyBorder="1"/>
    <xf numFmtId="0" fontId="0" fillId="0" borderId="0" xfId="0" quotePrefix="1"/>
    <xf numFmtId="164" fontId="0" fillId="0" borderId="0" xfId="2" applyNumberFormat="1" applyFont="1"/>
    <xf numFmtId="43" fontId="2" fillId="0" borderId="0" xfId="0" applyNumberFormat="1" applyFont="1"/>
    <xf numFmtId="166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165" fontId="0" fillId="0" borderId="0" xfId="3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textRotation="90"/>
    </xf>
    <xf numFmtId="44" fontId="0" fillId="0" borderId="0" xfId="3" applyFont="1"/>
    <xf numFmtId="0" fontId="2" fillId="5" borderId="12" xfId="0" applyFont="1" applyFill="1" applyBorder="1"/>
    <xf numFmtId="10" fontId="0" fillId="5" borderId="5" xfId="2" applyNumberFormat="1" applyFont="1" applyFill="1" applyBorder="1"/>
    <xf numFmtId="10" fontId="0" fillId="5" borderId="6" xfId="2" applyNumberFormat="1" applyFont="1" applyFill="1" applyBorder="1"/>
    <xf numFmtId="10" fontId="0" fillId="5" borderId="0" xfId="2" applyNumberFormat="1" applyFont="1" applyFill="1" applyBorder="1"/>
    <xf numFmtId="10" fontId="0" fillId="5" borderId="8" xfId="2" applyNumberFormat="1" applyFont="1" applyFill="1" applyBorder="1"/>
    <xf numFmtId="43" fontId="0" fillId="5" borderId="0" xfId="1" applyFont="1" applyFill="1" applyBorder="1"/>
    <xf numFmtId="43" fontId="0" fillId="5" borderId="8" xfId="1" applyFont="1" applyFill="1" applyBorder="1"/>
    <xf numFmtId="10" fontId="0" fillId="5" borderId="10" xfId="2" applyNumberFormat="1" applyFont="1" applyFill="1" applyBorder="1"/>
    <xf numFmtId="10" fontId="0" fillId="5" borderId="11" xfId="2" applyNumberFormat="1" applyFont="1" applyFill="1" applyBorder="1"/>
    <xf numFmtId="10" fontId="5" fillId="5" borderId="0" xfId="2" applyNumberFormat="1" applyFont="1" applyFill="1" applyBorder="1"/>
    <xf numFmtId="0" fontId="0" fillId="6" borderId="0" xfId="0" applyFill="1"/>
    <xf numFmtId="165" fontId="1" fillId="0" borderId="0" xfId="3" applyNumberFormat="1" applyFont="1"/>
    <xf numFmtId="44" fontId="1" fillId="0" borderId="0" xfId="3" applyFont="1"/>
    <xf numFmtId="0" fontId="2" fillId="5" borderId="14" xfId="0" applyFont="1" applyFill="1" applyBorder="1"/>
    <xf numFmtId="0" fontId="2" fillId="5" borderId="15" xfId="0" applyFont="1" applyFill="1" applyBorder="1"/>
    <xf numFmtId="10" fontId="0" fillId="5" borderId="4" xfId="2" applyNumberFormat="1" applyFont="1" applyFill="1" applyBorder="1"/>
    <xf numFmtId="10" fontId="0" fillId="5" borderId="7" xfId="2" applyNumberFormat="1" applyFont="1" applyFill="1" applyBorder="1"/>
    <xf numFmtId="43" fontId="0" fillId="5" borderId="7" xfId="1" applyFont="1" applyFill="1" applyBorder="1"/>
    <xf numFmtId="10" fontId="0" fillId="5" borderId="9" xfId="2" applyNumberFormat="1" applyFont="1" applyFill="1" applyBorder="1"/>
    <xf numFmtId="0" fontId="0" fillId="0" borderId="0" xfId="0" applyAlignment="1">
      <alignment vertical="center" textRotation="90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 vertical="center"/>
    </xf>
    <xf numFmtId="9" fontId="0" fillId="0" borderId="12" xfId="0" applyNumberFormat="1" applyBorder="1"/>
    <xf numFmtId="10" fontId="0" fillId="0" borderId="12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5" borderId="7" xfId="0" applyFont="1" applyFill="1" applyBorder="1"/>
    <xf numFmtId="0" fontId="2" fillId="5" borderId="0" xfId="0" applyFont="1" applyFill="1"/>
    <xf numFmtId="0" fontId="2" fillId="5" borderId="8" xfId="0" applyFont="1" applyFill="1" applyBorder="1"/>
    <xf numFmtId="167" fontId="1" fillId="5" borderId="1" xfId="1" applyNumberFormat="1" applyFont="1" applyFill="1" applyBorder="1"/>
    <xf numFmtId="167" fontId="0" fillId="5" borderId="0" xfId="0" applyNumberFormat="1" applyFill="1"/>
    <xf numFmtId="167" fontId="1" fillId="5" borderId="3" xfId="1" applyNumberFormat="1" applyFont="1" applyFill="1" applyBorder="1"/>
    <xf numFmtId="167" fontId="0" fillId="0" borderId="0" xfId="0" applyNumberFormat="1"/>
    <xf numFmtId="167" fontId="0" fillId="0" borderId="12" xfId="0" applyNumberFormat="1" applyBorder="1"/>
    <xf numFmtId="0" fontId="0" fillId="5" borderId="0" xfId="0" applyFill="1"/>
    <xf numFmtId="168" fontId="0" fillId="5" borderId="0" xfId="0" applyNumberFormat="1" applyFill="1"/>
    <xf numFmtId="0" fontId="0" fillId="0" borderId="2" xfId="0" applyBorder="1"/>
    <xf numFmtId="43" fontId="3" fillId="0" borderId="5" xfId="0" applyNumberFormat="1" applyFont="1" applyBorder="1" applyAlignment="1">
      <alignment horizontal="center"/>
    </xf>
    <xf numFmtId="167" fontId="0" fillId="5" borderId="7" xfId="1" applyNumberFormat="1" applyFont="1" applyFill="1" applyBorder="1"/>
    <xf numFmtId="167" fontId="0" fillId="5" borderId="0" xfId="1" applyNumberFormat="1" applyFont="1" applyFill="1" applyBorder="1"/>
    <xf numFmtId="167" fontId="0" fillId="5" borderId="8" xfId="1" applyNumberFormat="1" applyFont="1" applyFill="1" applyBorder="1"/>
    <xf numFmtId="167" fontId="1" fillId="5" borderId="16" xfId="1" applyNumberFormat="1" applyFont="1" applyFill="1" applyBorder="1"/>
    <xf numFmtId="167" fontId="1" fillId="5" borderId="17" xfId="1" applyNumberFormat="1" applyFont="1" applyFill="1" applyBorder="1"/>
    <xf numFmtId="167" fontId="1" fillId="5" borderId="18" xfId="1" applyNumberFormat="1" applyFont="1" applyFill="1" applyBorder="1"/>
    <xf numFmtId="167" fontId="1" fillId="5" borderId="19" xfId="1" applyNumberFormat="1" applyFont="1" applyFill="1" applyBorder="1"/>
    <xf numFmtId="167" fontId="1" fillId="5" borderId="20" xfId="1" applyNumberFormat="1" applyFont="1" applyFill="1" applyBorder="1"/>
    <xf numFmtId="43" fontId="3" fillId="0" borderId="4" xfId="0" applyNumberFormat="1" applyFont="1" applyBorder="1" applyAlignment="1">
      <alignment horizontal="center"/>
    </xf>
    <xf numFmtId="0" fontId="0" fillId="0" borderId="3" xfId="0" applyBorder="1"/>
    <xf numFmtId="0" fontId="2" fillId="5" borderId="21" xfId="0" applyFont="1" applyFill="1" applyBorder="1"/>
    <xf numFmtId="0" fontId="2" fillId="5" borderId="22" xfId="0" applyFont="1" applyFill="1" applyBorder="1"/>
    <xf numFmtId="0" fontId="2" fillId="5" borderId="23" xfId="0" applyFont="1" applyFill="1" applyBorder="1"/>
    <xf numFmtId="167" fontId="1" fillId="5" borderId="24" xfId="1" applyNumberFormat="1" applyFont="1" applyFill="1" applyBorder="1"/>
    <xf numFmtId="167" fontId="1" fillId="5" borderId="25" xfId="1" applyNumberFormat="1" applyFont="1" applyFill="1" applyBorder="1"/>
    <xf numFmtId="167" fontId="1" fillId="5" borderId="7" xfId="1" applyNumberFormat="1" applyFont="1" applyFill="1" applyBorder="1"/>
    <xf numFmtId="167" fontId="1" fillId="5" borderId="0" xfId="1" applyNumberFormat="1" applyFont="1" applyFill="1" applyBorder="1"/>
    <xf numFmtId="167" fontId="1" fillId="5" borderId="8" xfId="1" applyNumberFormat="1" applyFont="1" applyFill="1" applyBorder="1"/>
    <xf numFmtId="167" fontId="0" fillId="5" borderId="14" xfId="1" applyNumberFormat="1" applyFont="1" applyFill="1" applyBorder="1"/>
    <xf numFmtId="167" fontId="0" fillId="5" borderId="12" xfId="1" applyNumberFormat="1" applyFont="1" applyFill="1" applyBorder="1"/>
    <xf numFmtId="167" fontId="0" fillId="5" borderId="15" xfId="1" applyNumberFormat="1" applyFont="1" applyFill="1" applyBorder="1"/>
    <xf numFmtId="0" fontId="0" fillId="0" borderId="26" xfId="0" applyBorder="1"/>
    <xf numFmtId="0" fontId="2" fillId="5" borderId="26" xfId="0" applyFont="1" applyFill="1" applyBorder="1"/>
    <xf numFmtId="0" fontId="2" fillId="5" borderId="27" xfId="0" applyFont="1" applyFill="1" applyBorder="1"/>
    <xf numFmtId="0" fontId="2" fillId="5" borderId="28" xfId="0" applyFont="1" applyFill="1" applyBorder="1"/>
    <xf numFmtId="10" fontId="5" fillId="7" borderId="4" xfId="2" applyNumberFormat="1" applyFont="1" applyFill="1" applyBorder="1"/>
    <xf numFmtId="10" fontId="5" fillId="7" borderId="7" xfId="2" applyNumberFormat="1" applyFont="1" applyFill="1" applyBorder="1"/>
    <xf numFmtId="165" fontId="0" fillId="0" borderId="0" xfId="3" applyNumberFormat="1" applyFont="1" applyBorder="1"/>
    <xf numFmtId="165" fontId="0" fillId="5" borderId="12" xfId="3" applyNumberFormat="1" applyFont="1" applyFill="1" applyBorder="1"/>
    <xf numFmtId="165" fontId="0" fillId="0" borderId="0" xfId="0" applyNumberFormat="1"/>
    <xf numFmtId="0" fontId="2" fillId="5" borderId="10" xfId="0" applyFont="1" applyFill="1" applyBorder="1"/>
    <xf numFmtId="167" fontId="1" fillId="5" borderId="9" xfId="1" applyNumberFormat="1" applyFont="1" applyFill="1" applyBorder="1"/>
    <xf numFmtId="167" fontId="1" fillId="5" borderId="10" xfId="1" applyNumberFormat="1" applyFont="1" applyFill="1" applyBorder="1"/>
    <xf numFmtId="167" fontId="1" fillId="5" borderId="11" xfId="1" applyNumberFormat="1" applyFont="1" applyFill="1" applyBorder="1"/>
    <xf numFmtId="10" fontId="0" fillId="0" borderId="0" xfId="0" applyNumberFormat="1"/>
    <xf numFmtId="167" fontId="0" fillId="0" borderId="10" xfId="0" applyNumberFormat="1" applyBorder="1"/>
    <xf numFmtId="0" fontId="0" fillId="0" borderId="29" xfId="0" applyBorder="1"/>
    <xf numFmtId="0" fontId="6" fillId="8" borderId="5" xfId="0" applyFont="1" applyFill="1" applyBorder="1" applyAlignment="1">
      <alignment horizontal="right"/>
    </xf>
    <xf numFmtId="0" fontId="6" fillId="8" borderId="12" xfId="0" applyFont="1" applyFill="1" applyBorder="1" applyAlignment="1">
      <alignment horizontal="right"/>
    </xf>
    <xf numFmtId="43" fontId="0" fillId="10" borderId="0" xfId="0" applyNumberFormat="1" applyFill="1"/>
    <xf numFmtId="10" fontId="0" fillId="10" borderId="0" xfId="0" applyNumberFormat="1" applyFill="1"/>
    <xf numFmtId="0" fontId="7" fillId="0" borderId="0" xfId="0" applyFont="1" applyAlignment="1">
      <alignment vertical="top" wrapText="1"/>
    </xf>
    <xf numFmtId="167" fontId="0" fillId="0" borderId="0" xfId="0" applyNumberFormat="1" applyAlignment="1">
      <alignment horizontal="center"/>
    </xf>
    <xf numFmtId="170" fontId="0" fillId="0" borderId="0" xfId="1" applyNumberFormat="1" applyFont="1"/>
    <xf numFmtId="167" fontId="0" fillId="0" borderId="0" xfId="1" applyNumberFormat="1" applyFont="1"/>
    <xf numFmtId="1" fontId="0" fillId="0" borderId="0" xfId="0" applyNumberFormat="1"/>
    <xf numFmtId="9" fontId="0" fillId="0" borderId="0" xfId="2" applyFont="1"/>
    <xf numFmtId="0" fontId="0" fillId="0" borderId="27" xfId="0" applyBorder="1"/>
    <xf numFmtId="169" fontId="0" fillId="0" borderId="27" xfId="1" applyNumberFormat="1" applyFont="1" applyBorder="1"/>
    <xf numFmtId="169" fontId="0" fillId="0" borderId="28" xfId="1" applyNumberFormat="1" applyFont="1" applyBorder="1"/>
    <xf numFmtId="164" fontId="0" fillId="0" borderId="27" xfId="2" applyNumberFormat="1" applyFont="1" applyBorder="1"/>
    <xf numFmtId="164" fontId="0" fillId="0" borderId="28" xfId="2" applyNumberFormat="1" applyFont="1" applyBorder="1"/>
    <xf numFmtId="0" fontId="8" fillId="0" borderId="0" xfId="0" applyFont="1" applyAlignment="1">
      <alignment horizontal="center"/>
    </xf>
    <xf numFmtId="167" fontId="0" fillId="0" borderId="0" xfId="1" applyNumberFormat="1" applyFont="1" applyAlignment="1">
      <alignment horizontal="center"/>
    </xf>
    <xf numFmtId="169" fontId="0" fillId="0" borderId="12" xfId="1" applyNumberFormat="1" applyFont="1" applyBorder="1"/>
    <xf numFmtId="167" fontId="0" fillId="0" borderId="12" xfId="1" applyNumberFormat="1" applyFont="1" applyBorder="1"/>
    <xf numFmtId="164" fontId="5" fillId="7" borderId="0" xfId="2" applyNumberFormat="1" applyFont="1" applyFill="1"/>
    <xf numFmtId="169" fontId="5" fillId="7" borderId="0" xfId="1" applyNumberFormat="1" applyFont="1" applyFill="1"/>
    <xf numFmtId="0" fontId="3" fillId="0" borderId="6" xfId="0" applyFont="1" applyBorder="1" applyAlignment="1">
      <alignment horizontal="center"/>
    </xf>
    <xf numFmtId="164" fontId="0" fillId="5" borderId="0" xfId="2" applyNumberFormat="1" applyFont="1" applyFill="1" applyBorder="1"/>
    <xf numFmtId="44" fontId="0" fillId="0" borderId="0" xfId="3" applyFont="1" applyBorder="1"/>
    <xf numFmtId="0" fontId="2" fillId="0" borderId="26" xfId="0" applyFont="1" applyBorder="1"/>
    <xf numFmtId="0" fontId="2" fillId="0" borderId="27" xfId="0" applyFont="1" applyBorder="1"/>
    <xf numFmtId="164" fontId="2" fillId="0" borderId="27" xfId="2" applyNumberFormat="1" applyFont="1" applyBorder="1"/>
    <xf numFmtId="164" fontId="2" fillId="0" borderId="28" xfId="2" applyNumberFormat="1" applyFont="1" applyBorder="1"/>
    <xf numFmtId="0" fontId="9" fillId="0" borderId="0" xfId="0" applyFont="1"/>
    <xf numFmtId="169" fontId="9" fillId="0" borderId="0" xfId="1" applyNumberFormat="1" applyFont="1"/>
    <xf numFmtId="164" fontId="9" fillId="0" borderId="0" xfId="2" applyNumberFormat="1" applyFont="1"/>
    <xf numFmtId="0" fontId="10" fillId="8" borderId="12" xfId="0" applyFont="1" applyFill="1" applyBorder="1" applyAlignment="1">
      <alignment horizontal="left"/>
    </xf>
    <xf numFmtId="0" fontId="10" fillId="8" borderId="5" xfId="0" applyFont="1" applyFill="1" applyBorder="1" applyAlignment="1">
      <alignment horizontal="left"/>
    </xf>
    <xf numFmtId="0" fontId="11" fillId="9" borderId="0" xfId="0" applyFont="1" applyFill="1" applyAlignment="1">
      <alignment horizontal="left"/>
    </xf>
    <xf numFmtId="0" fontId="12" fillId="9" borderId="29" xfId="0" applyFont="1" applyFill="1" applyBorder="1" applyAlignment="1">
      <alignment horizontal="left"/>
    </xf>
    <xf numFmtId="0" fontId="11" fillId="9" borderId="10" xfId="0" applyFont="1" applyFill="1" applyBorder="1" applyAlignment="1">
      <alignment horizontal="left"/>
    </xf>
    <xf numFmtId="0" fontId="0" fillId="0" borderId="30" xfId="0" applyBorder="1"/>
    <xf numFmtId="167" fontId="0" fillId="5" borderId="30" xfId="1" applyNumberFormat="1" applyFont="1" applyFill="1" applyBorder="1"/>
    <xf numFmtId="164" fontId="0" fillId="0" borderId="30" xfId="2" applyNumberFormat="1" applyFont="1" applyBorder="1"/>
    <xf numFmtId="44" fontId="0" fillId="0" borderId="30" xfId="3" applyFont="1" applyBorder="1"/>
    <xf numFmtId="167" fontId="1" fillId="5" borderId="30" xfId="1" applyNumberFormat="1" applyFont="1" applyFill="1" applyBorder="1"/>
    <xf numFmtId="167" fontId="1" fillId="5" borderId="31" xfId="1" applyNumberFormat="1" applyFont="1" applyFill="1" applyBorder="1"/>
    <xf numFmtId="167" fontId="1" fillId="5" borderId="32" xfId="1" applyNumberFormat="1" applyFont="1" applyFill="1" applyBorder="1"/>
    <xf numFmtId="167" fontId="0" fillId="5" borderId="33" xfId="1" applyNumberFormat="1" applyFont="1" applyFill="1" applyBorder="1"/>
    <xf numFmtId="167" fontId="0" fillId="5" borderId="13" xfId="1" applyNumberFormat="1" applyFont="1" applyFill="1" applyBorder="1"/>
    <xf numFmtId="167" fontId="0" fillId="5" borderId="34" xfId="1" applyNumberFormat="1" applyFont="1" applyFill="1" applyBorder="1"/>
    <xf numFmtId="167" fontId="0" fillId="5" borderId="35" xfId="1" applyNumberFormat="1" applyFont="1" applyFill="1" applyBorder="1"/>
    <xf numFmtId="10" fontId="13" fillId="7" borderId="5" xfId="2" applyNumberFormat="1" applyFont="1" applyFill="1" applyBorder="1"/>
    <xf numFmtId="10" fontId="13" fillId="7" borderId="6" xfId="2" applyNumberFormat="1" applyFont="1" applyFill="1" applyBorder="1"/>
    <xf numFmtId="10" fontId="13" fillId="7" borderId="0" xfId="2" applyNumberFormat="1" applyFont="1" applyFill="1" applyBorder="1"/>
    <xf numFmtId="10" fontId="13" fillId="7" borderId="8" xfId="2" applyNumberFormat="1" applyFont="1" applyFill="1" applyBorder="1"/>
    <xf numFmtId="43" fontId="13" fillId="7" borderId="0" xfId="1" applyFont="1" applyFill="1" applyBorder="1"/>
    <xf numFmtId="43" fontId="13" fillId="7" borderId="8" xfId="1" applyFont="1" applyFill="1" applyBorder="1"/>
    <xf numFmtId="43" fontId="13" fillId="7" borderId="10" xfId="1" applyFont="1" applyFill="1" applyBorder="1"/>
    <xf numFmtId="43" fontId="13" fillId="7" borderId="11" xfId="1" applyFont="1" applyFill="1" applyBorder="1"/>
    <xf numFmtId="10" fontId="13" fillId="7" borderId="7" xfId="2" applyNumberFormat="1" applyFont="1" applyFill="1" applyBorder="1"/>
    <xf numFmtId="43" fontId="13" fillId="7" borderId="7" xfId="1" applyFont="1" applyFill="1" applyBorder="1"/>
    <xf numFmtId="43" fontId="13" fillId="7" borderId="9" xfId="1" applyFont="1" applyFill="1" applyBorder="1"/>
    <xf numFmtId="167" fontId="0" fillId="0" borderId="21" xfId="0" applyNumberFormat="1" applyBorder="1"/>
    <xf numFmtId="167" fontId="0" fillId="0" borderId="7" xfId="0" applyNumberFormat="1" applyBorder="1"/>
    <xf numFmtId="167" fontId="0" fillId="0" borderId="8" xfId="0" applyNumberFormat="1" applyBorder="1"/>
    <xf numFmtId="167" fontId="0" fillId="0" borderId="14" xfId="0" applyNumberFormat="1" applyBorder="1"/>
    <xf numFmtId="167" fontId="0" fillId="0" borderId="15" xfId="0" applyNumberFormat="1" applyBorder="1"/>
    <xf numFmtId="167" fontId="0" fillId="0" borderId="9" xfId="0" applyNumberFormat="1" applyBorder="1"/>
    <xf numFmtId="167" fontId="0" fillId="0" borderId="11" xfId="0" applyNumberFormat="1" applyBorder="1"/>
    <xf numFmtId="10" fontId="14" fillId="5" borderId="0" xfId="2" applyNumberFormat="1" applyFont="1" applyFill="1" applyBorder="1" applyAlignment="1">
      <alignment horizontal="center"/>
    </xf>
    <xf numFmtId="171" fontId="2" fillId="11" borderId="0" xfId="3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  <xf numFmtId="164" fontId="0" fillId="0" borderId="0" xfId="2" applyNumberFormat="1" applyFont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of Credit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'Q5'!$A$5</c:f>
              <c:strCache>
                <c:ptCount val="1"/>
                <c:pt idx="0">
                  <c:v>DPO=24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'Q5'!$B$4:$F$4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xVal>
          <c:yVal>
            <c:numRef>
              <c:f>'Q5'!$B$5:$F$5</c:f>
              <c:numCache>
                <c:formatCode>_(* #,##0_);_(* \(#,##0\);_(* "-"??_);_(@_)</c:formatCode>
                <c:ptCount val="5"/>
                <c:pt idx="0">
                  <c:v>349.7894357826159</c:v>
                </c:pt>
                <c:pt idx="1">
                  <c:v>467.94492553515789</c:v>
                </c:pt>
                <c:pt idx="2">
                  <c:v>607.44850530456802</c:v>
                </c:pt>
                <c:pt idx="3">
                  <c:v>772.70039890794226</c:v>
                </c:pt>
                <c:pt idx="4">
                  <c:v>968.98689133078619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0D-4BFA-832E-0BA358255F39}"/>
            </c:ext>
          </c:extLst>
        </c:ser>
        <c:ser>
          <c:idx val="1"/>
          <c:order val="1"/>
          <c:tx>
            <c:strRef>
              <c:f>'Q5'!$A$6</c:f>
              <c:strCache>
                <c:ptCount val="1"/>
                <c:pt idx="0">
                  <c:v>DPO=9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'Q5'!$B$4:$F$4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xVal>
          <c:yVal>
            <c:numRef>
              <c:f>'Q5'!$B$6:$F$6</c:f>
              <c:numCache>
                <c:formatCode>_(* #,##0_);_(* \(#,##0\);_(* "-"??_);_(@_)</c:formatCode>
                <c:ptCount val="5"/>
                <c:pt idx="0">
                  <c:v>405.43312502506774</c:v>
                </c:pt>
                <c:pt idx="1">
                  <c:v>510.49660754605122</c:v>
                </c:pt>
                <c:pt idx="2">
                  <c:v>633.17475707443646</c:v>
                </c:pt>
                <c:pt idx="3">
                  <c:v>777.06978179905775</c:v>
                </c:pt>
                <c:pt idx="4">
                  <c:v>946.50798475717625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0D-4BFA-832E-0BA358255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805080"/>
        <c:axId val="427805472"/>
      </c:scatterChart>
      <c:valAx>
        <c:axId val="427805080"/>
        <c:scaling>
          <c:orientation val="minMax"/>
          <c:max val="2011"/>
          <c:min val="2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05472"/>
        <c:crosses val="autoZero"/>
        <c:crossBetween val="midCat"/>
        <c:majorUnit val="1"/>
      </c:valAx>
      <c:valAx>
        <c:axId val="427805472"/>
        <c:scaling>
          <c:orientation val="minMax"/>
          <c:min val="35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05080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169862</xdr:colOff>
      <xdr:row>6</xdr:row>
      <xdr:rowOff>163512</xdr:rowOff>
    </xdr:from>
    <xdr:to>
      <xdr:col>8</xdr:col>
      <xdr:colOff>474662</xdr:colOff>
      <xdr:row>21</xdr:row>
      <xdr:rowOff>49212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1"/>
  <sheetViews>
    <sheetView showGridLines="0" tabSelected="1" zoomScaleNormal="100" workbookViewId="0">
      <selection activeCell="J30" sqref="J30"/>
    </sheetView>
  </sheetViews>
  <sheetFormatPr baseColWidth="10" defaultColWidth="8.83203125" defaultRowHeight="15" outlineLevelRow="1" x14ac:dyDescent="0.2"/>
  <cols>
    <col min="1" max="1" width="43.6640625" bestFit="1" customWidth="1"/>
    <col min="2" max="2" width="11.5" bestFit="1" customWidth="1"/>
    <col min="3" max="3" width="11.83203125" bestFit="1" customWidth="1"/>
    <col min="4" max="5" width="11.5" bestFit="1" customWidth="1"/>
    <col min="6" max="6" width="11.1640625" bestFit="1" customWidth="1"/>
    <col min="7" max="8" width="12.83203125" bestFit="1" customWidth="1"/>
    <col min="9" max="9" width="14.83203125" bestFit="1" customWidth="1"/>
    <col min="11" max="12" width="13" customWidth="1"/>
    <col min="13" max="13" width="8.33203125" bestFit="1" customWidth="1"/>
    <col min="14" max="14" width="4.33203125" customWidth="1"/>
    <col min="15" max="15" width="6.1640625" customWidth="1"/>
    <col min="16" max="16" width="10" customWidth="1"/>
    <col min="17" max="17" width="10.83203125" customWidth="1"/>
    <col min="18" max="21" width="8.33203125" customWidth="1"/>
    <col min="22" max="22" width="16.6640625" bestFit="1" customWidth="1"/>
    <col min="23" max="24" width="10.83203125" bestFit="1" customWidth="1"/>
    <col min="25" max="25" width="13" customWidth="1"/>
    <col min="26" max="26" width="12.5" customWidth="1"/>
    <col min="27" max="36" width="9.1640625" customWidth="1"/>
  </cols>
  <sheetData>
    <row r="1" spans="1:27" ht="20" thickBot="1" x14ac:dyDescent="0.3">
      <c r="A1" s="202" t="s">
        <v>81</v>
      </c>
      <c r="B1" s="202"/>
      <c r="C1" s="202"/>
      <c r="D1" s="202"/>
      <c r="E1" s="202"/>
      <c r="F1" s="202"/>
      <c r="G1" s="202"/>
      <c r="H1" s="202"/>
      <c r="I1" s="202"/>
    </row>
    <row r="2" spans="1:27" x14ac:dyDescent="0.2">
      <c r="B2" s="203" t="s">
        <v>79</v>
      </c>
      <c r="C2" s="204"/>
      <c r="D2" s="205"/>
      <c r="E2" s="203" t="s">
        <v>80</v>
      </c>
      <c r="F2" s="204"/>
      <c r="G2" s="204"/>
      <c r="H2" s="204"/>
      <c r="I2" s="205"/>
    </row>
    <row r="3" spans="1:27" ht="16" thickBot="1" x14ac:dyDescent="0.25">
      <c r="B3" s="85">
        <v>2004</v>
      </c>
      <c r="C3" s="86">
        <v>2005</v>
      </c>
      <c r="D3" s="87">
        <v>2006</v>
      </c>
      <c r="E3" s="85">
        <v>2007</v>
      </c>
      <c r="F3" s="86">
        <f>E3+1</f>
        <v>2008</v>
      </c>
      <c r="G3" s="86">
        <f>F3+1</f>
        <v>2009</v>
      </c>
      <c r="H3" s="86">
        <f>G3+1</f>
        <v>2010</v>
      </c>
      <c r="I3" s="87">
        <f>H3+1</f>
        <v>2011</v>
      </c>
    </row>
    <row r="4" spans="1:27" x14ac:dyDescent="0.2">
      <c r="A4" s="16" t="s">
        <v>22</v>
      </c>
      <c r="B4" s="71"/>
      <c r="C4" s="57">
        <f>C25/B25-1</f>
        <v>0.17980295566502469</v>
      </c>
      <c r="D4" s="58">
        <f>D25/C25-1</f>
        <v>0.17014613778705634</v>
      </c>
      <c r="E4" s="122">
        <v>0.2</v>
      </c>
      <c r="F4" s="181">
        <f>E4</f>
        <v>0.2</v>
      </c>
      <c r="G4" s="181">
        <f t="shared" ref="G4:I5" si="0">F4</f>
        <v>0.2</v>
      </c>
      <c r="H4" s="181">
        <f t="shared" si="0"/>
        <v>0.2</v>
      </c>
      <c r="I4" s="182">
        <f t="shared" si="0"/>
        <v>0.2</v>
      </c>
    </row>
    <row r="5" spans="1:27" x14ac:dyDescent="0.2">
      <c r="A5" s="17" t="s">
        <v>121</v>
      </c>
      <c r="B5" s="72">
        <f>(B26-B27)/B25</f>
        <v>0.80295566502463056</v>
      </c>
      <c r="C5" s="59">
        <f>(C26-C27)/C25</f>
        <v>0.80114822546972864</v>
      </c>
      <c r="D5" s="60">
        <f>(D26-D27)/D25</f>
        <v>0.81088314005352369</v>
      </c>
      <c r="E5" s="189">
        <f>D5</f>
        <v>0.81088314005352369</v>
      </c>
      <c r="F5" s="183">
        <f t="shared" ref="F5" si="1">E5</f>
        <v>0.81088314005352369</v>
      </c>
      <c r="G5" s="183">
        <f t="shared" si="0"/>
        <v>0.81088314005352369</v>
      </c>
      <c r="H5" s="183">
        <f t="shared" si="0"/>
        <v>0.81088314005352369</v>
      </c>
      <c r="I5" s="184">
        <f t="shared" si="0"/>
        <v>0.81088314005352369</v>
      </c>
      <c r="M5" s="140"/>
    </row>
    <row r="6" spans="1:27" x14ac:dyDescent="0.2">
      <c r="A6" s="17" t="s">
        <v>23</v>
      </c>
      <c r="B6" s="72">
        <f>B30/B25</f>
        <v>0.16748768472906403</v>
      </c>
      <c r="C6" s="59">
        <f>C30/C25</f>
        <v>0.14718162839248433</v>
      </c>
      <c r="D6" s="60">
        <f>D30/D25</f>
        <v>0.13916146297948259</v>
      </c>
      <c r="E6" s="189">
        <f>D6</f>
        <v>0.13916146297948259</v>
      </c>
      <c r="F6" s="183">
        <f t="shared" ref="F6:F12" si="2">E6</f>
        <v>0.13916146297948259</v>
      </c>
      <c r="G6" s="183">
        <f t="shared" ref="G6:I6" si="3">F6</f>
        <v>0.13916146297948259</v>
      </c>
      <c r="H6" s="183">
        <f t="shared" si="3"/>
        <v>0.13916146297948259</v>
      </c>
      <c r="I6" s="184">
        <f t="shared" si="3"/>
        <v>0.13916146297948259</v>
      </c>
    </row>
    <row r="7" spans="1:27" x14ac:dyDescent="0.2">
      <c r="A7" s="17" t="s">
        <v>118</v>
      </c>
      <c r="B7" s="72">
        <f>B35/B34</f>
        <v>0.33333333333333331</v>
      </c>
      <c r="C7" s="59">
        <f>C35/C34</f>
        <v>0.34090909090909088</v>
      </c>
      <c r="D7" s="60">
        <f>D35/D34</f>
        <v>0.34782608695652173</v>
      </c>
      <c r="E7" s="123">
        <v>0.3</v>
      </c>
      <c r="F7" s="183">
        <f t="shared" si="2"/>
        <v>0.3</v>
      </c>
      <c r="G7" s="183">
        <f t="shared" ref="G7:I7" si="4">F7</f>
        <v>0.3</v>
      </c>
      <c r="H7" s="183">
        <f t="shared" si="4"/>
        <v>0.3</v>
      </c>
      <c r="I7" s="184">
        <f t="shared" si="4"/>
        <v>0.3</v>
      </c>
      <c r="M7" s="10"/>
      <c r="N7" s="10"/>
      <c r="O7" s="10"/>
      <c r="P7" s="50"/>
      <c r="Q7" s="50"/>
      <c r="R7" s="50"/>
      <c r="S7" s="50"/>
    </row>
    <row r="8" spans="1:27" x14ac:dyDescent="0.2">
      <c r="A8" s="17" t="s">
        <v>117</v>
      </c>
      <c r="B8" s="72"/>
      <c r="C8" s="59"/>
      <c r="D8" s="60"/>
      <c r="E8" s="123">
        <v>0.35</v>
      </c>
      <c r="F8" s="183">
        <f t="shared" si="2"/>
        <v>0.35</v>
      </c>
      <c r="G8" s="183">
        <f t="shared" ref="G8:I8" si="5">F8</f>
        <v>0.35</v>
      </c>
      <c r="H8" s="183">
        <f t="shared" si="5"/>
        <v>0.35</v>
      </c>
      <c r="I8" s="184">
        <f t="shared" si="5"/>
        <v>0.35</v>
      </c>
      <c r="M8" s="10"/>
      <c r="N8" s="10"/>
      <c r="O8" s="10"/>
      <c r="P8" s="50"/>
      <c r="Q8" s="50"/>
      <c r="R8" s="50"/>
      <c r="S8" s="50"/>
    </row>
    <row r="9" spans="1:27" x14ac:dyDescent="0.2">
      <c r="A9" s="17" t="s">
        <v>119</v>
      </c>
      <c r="B9" s="72"/>
      <c r="C9" s="59"/>
      <c r="D9" s="60"/>
      <c r="E9" s="123">
        <v>0.4</v>
      </c>
      <c r="F9" s="183">
        <f t="shared" si="2"/>
        <v>0.4</v>
      </c>
      <c r="G9" s="183">
        <f t="shared" ref="G9:I9" si="6">F9</f>
        <v>0.4</v>
      </c>
      <c r="H9" s="183">
        <f t="shared" si="6"/>
        <v>0.4</v>
      </c>
      <c r="I9" s="184">
        <f t="shared" si="6"/>
        <v>0.4</v>
      </c>
      <c r="M9" s="10"/>
      <c r="N9" s="10"/>
      <c r="O9" s="10"/>
      <c r="P9" s="50"/>
      <c r="Q9" s="50"/>
      <c r="R9" s="50"/>
      <c r="S9" s="50"/>
    </row>
    <row r="10" spans="1:27" x14ac:dyDescent="0.2">
      <c r="A10" s="17" t="s">
        <v>31</v>
      </c>
      <c r="B10" s="72"/>
      <c r="C10" s="59"/>
      <c r="D10" s="60"/>
      <c r="E10" s="123">
        <v>0.08</v>
      </c>
      <c r="F10" s="183">
        <f t="shared" si="2"/>
        <v>0.08</v>
      </c>
      <c r="G10" s="183">
        <f t="shared" ref="G10:I10" si="7">F10</f>
        <v>0.08</v>
      </c>
      <c r="H10" s="183">
        <f t="shared" si="7"/>
        <v>0.08</v>
      </c>
      <c r="I10" s="184">
        <f t="shared" si="7"/>
        <v>0.08</v>
      </c>
      <c r="P10" s="52"/>
      <c r="Q10" s="52"/>
      <c r="R10" s="52"/>
      <c r="S10" s="52"/>
    </row>
    <row r="11" spans="1:27" x14ac:dyDescent="0.2">
      <c r="A11" s="17" t="s">
        <v>32</v>
      </c>
      <c r="B11" s="72"/>
      <c r="C11" s="59"/>
      <c r="D11" s="60"/>
      <c r="E11" s="123">
        <v>7.4999999999999997E-2</v>
      </c>
      <c r="F11" s="183">
        <f t="shared" si="2"/>
        <v>7.4999999999999997E-2</v>
      </c>
      <c r="G11" s="183">
        <f t="shared" ref="G11:I11" si="8">F11</f>
        <v>7.4999999999999997E-2</v>
      </c>
      <c r="H11" s="183">
        <f t="shared" si="8"/>
        <v>7.4999999999999997E-2</v>
      </c>
      <c r="I11" s="184">
        <f t="shared" si="8"/>
        <v>7.4999999999999997E-2</v>
      </c>
      <c r="P11" s="52"/>
      <c r="Q11" s="52"/>
      <c r="R11" s="52"/>
      <c r="S11" s="52"/>
    </row>
    <row r="12" spans="1:27" x14ac:dyDescent="0.2">
      <c r="A12" s="17" t="s">
        <v>94</v>
      </c>
      <c r="B12" s="72">
        <v>0.02</v>
      </c>
      <c r="C12" s="59">
        <v>0.02</v>
      </c>
      <c r="D12" s="60">
        <v>0.02</v>
      </c>
      <c r="E12" s="189">
        <f>D12</f>
        <v>0.02</v>
      </c>
      <c r="F12" s="183">
        <f t="shared" si="2"/>
        <v>0.02</v>
      </c>
      <c r="G12" s="183">
        <f t="shared" ref="G12:I19" si="9">F12</f>
        <v>0.02</v>
      </c>
      <c r="H12" s="183">
        <f t="shared" si="9"/>
        <v>0.02</v>
      </c>
      <c r="I12" s="184">
        <f t="shared" si="9"/>
        <v>0.02</v>
      </c>
      <c r="J12" s="93"/>
      <c r="K12" s="65"/>
      <c r="P12" s="52"/>
      <c r="Q12" s="52"/>
      <c r="R12" s="52"/>
      <c r="S12" s="52"/>
    </row>
    <row r="13" spans="1:27" x14ac:dyDescent="0.2">
      <c r="A13" s="17" t="s">
        <v>6</v>
      </c>
      <c r="B13" s="72">
        <f t="shared" ref="B13:C13" si="10">B39/B25</f>
        <v>2.7709359605911331E-2</v>
      </c>
      <c r="C13" s="59">
        <f t="shared" si="10"/>
        <v>2.7661795407098122E-2</v>
      </c>
      <c r="D13" s="60">
        <f>D39/D25</f>
        <v>1.0258697591436218E-2</v>
      </c>
      <c r="E13" s="189">
        <f>D13</f>
        <v>1.0258697591436218E-2</v>
      </c>
      <c r="F13" s="183">
        <f t="shared" ref="F13:F19" si="11">E13</f>
        <v>1.0258697591436218E-2</v>
      </c>
      <c r="G13" s="183">
        <f t="shared" si="9"/>
        <v>1.0258697591436218E-2</v>
      </c>
      <c r="H13" s="183">
        <f t="shared" si="9"/>
        <v>1.0258697591436218E-2</v>
      </c>
      <c r="I13" s="184">
        <f t="shared" si="9"/>
        <v>1.0258697591436218E-2</v>
      </c>
      <c r="J13" s="93"/>
      <c r="K13" s="65"/>
      <c r="S13" s="52"/>
    </row>
    <row r="14" spans="1:27" x14ac:dyDescent="0.2">
      <c r="A14" s="17" t="s">
        <v>24</v>
      </c>
      <c r="B14" s="73">
        <f t="shared" ref="B14:C14" si="12">B40/(B25/365)</f>
        <v>42.028940886699502</v>
      </c>
      <c r="C14" s="61">
        <f t="shared" si="12"/>
        <v>44.005741127348642</v>
      </c>
      <c r="D14" s="62">
        <f>D40/(D25/365)</f>
        <v>42.979482604817129</v>
      </c>
      <c r="E14" s="190">
        <f>D14</f>
        <v>42.979482604817129</v>
      </c>
      <c r="F14" s="185">
        <f t="shared" si="11"/>
        <v>42.979482604817129</v>
      </c>
      <c r="G14" s="185">
        <f t="shared" si="9"/>
        <v>42.979482604817129</v>
      </c>
      <c r="H14" s="185">
        <f t="shared" si="9"/>
        <v>42.979482604817129</v>
      </c>
      <c r="I14" s="186">
        <f t="shared" si="9"/>
        <v>42.979482604817129</v>
      </c>
      <c r="J14" s="93"/>
      <c r="K14" s="94"/>
      <c r="S14" s="52"/>
      <c r="AA14" s="82"/>
    </row>
    <row r="15" spans="1:27" ht="15" customHeight="1" x14ac:dyDescent="0.2">
      <c r="A15" s="17" t="s">
        <v>91</v>
      </c>
      <c r="B15" s="73">
        <f t="shared" ref="B15:C15" si="13">B41/(B28/365)</f>
        <v>68.017638036809814</v>
      </c>
      <c r="C15" s="61">
        <f t="shared" si="13"/>
        <v>66.104234527687296</v>
      </c>
      <c r="D15" s="62">
        <f>D41/(D28/365)</f>
        <v>76.091859185918594</v>
      </c>
      <c r="E15" s="190">
        <f>D15</f>
        <v>76.091859185918594</v>
      </c>
      <c r="F15" s="185">
        <f t="shared" si="11"/>
        <v>76.091859185918594</v>
      </c>
      <c r="G15" s="185">
        <f t="shared" si="9"/>
        <v>76.091859185918594</v>
      </c>
      <c r="H15" s="185">
        <f t="shared" si="9"/>
        <v>76.091859185918594</v>
      </c>
      <c r="I15" s="186">
        <f t="shared" si="9"/>
        <v>76.091859185918594</v>
      </c>
      <c r="J15" s="93"/>
      <c r="K15" s="93"/>
      <c r="M15" s="10"/>
      <c r="N15" s="10"/>
      <c r="O15" s="10"/>
      <c r="P15" s="50"/>
      <c r="Q15" s="50"/>
      <c r="R15" s="50"/>
      <c r="S15" s="52"/>
    </row>
    <row r="16" spans="1:27" x14ac:dyDescent="0.2">
      <c r="A16" s="17" t="s">
        <v>26</v>
      </c>
      <c r="B16" s="72">
        <f t="shared" ref="B16:C16" si="14">B43/B25</f>
        <v>0.11514778325123153</v>
      </c>
      <c r="C16" s="59">
        <f t="shared" si="14"/>
        <v>0.10542797494780794</v>
      </c>
      <c r="D16" s="60">
        <f>D43/D25</f>
        <v>0.11239964317573595</v>
      </c>
      <c r="E16" s="189">
        <f>D16</f>
        <v>0.11239964317573595</v>
      </c>
      <c r="F16" s="183">
        <f t="shared" si="11"/>
        <v>0.11239964317573595</v>
      </c>
      <c r="G16" s="183">
        <f t="shared" si="9"/>
        <v>0.11239964317573595</v>
      </c>
      <c r="H16" s="183">
        <f t="shared" si="9"/>
        <v>0.11239964317573595</v>
      </c>
      <c r="I16" s="184">
        <f t="shared" si="9"/>
        <v>0.11239964317573595</v>
      </c>
      <c r="J16" s="93"/>
      <c r="K16" s="93"/>
      <c r="P16" s="52"/>
      <c r="Q16" s="52"/>
      <c r="R16" s="52"/>
      <c r="S16" s="52"/>
    </row>
    <row r="17" spans="1:23" x14ac:dyDescent="0.2">
      <c r="A17" s="17" t="s">
        <v>29</v>
      </c>
      <c r="B17" s="72">
        <f t="shared" ref="B17:C17" si="15">-B44/B43</f>
        <v>0.39572192513368987</v>
      </c>
      <c r="C17" s="59">
        <f t="shared" si="15"/>
        <v>0.49009900990099009</v>
      </c>
      <c r="D17" s="60">
        <f>-D44/D43</f>
        <v>0.53174603174603174</v>
      </c>
      <c r="E17" s="123">
        <v>0.53169999999999995</v>
      </c>
      <c r="F17" s="183">
        <f t="shared" si="11"/>
        <v>0.53169999999999995</v>
      </c>
      <c r="G17" s="183">
        <f t="shared" si="9"/>
        <v>0.53169999999999995</v>
      </c>
      <c r="H17" s="183">
        <f t="shared" si="9"/>
        <v>0.53169999999999995</v>
      </c>
      <c r="I17" s="184">
        <f t="shared" si="9"/>
        <v>0.53169999999999995</v>
      </c>
      <c r="J17" s="93"/>
      <c r="K17" s="93"/>
      <c r="P17" s="52"/>
      <c r="Q17" s="52"/>
      <c r="R17" s="52"/>
      <c r="S17" s="52"/>
    </row>
    <row r="18" spans="1:23" x14ac:dyDescent="0.2">
      <c r="A18" s="17" t="s">
        <v>27</v>
      </c>
      <c r="B18" s="73">
        <f t="shared" ref="B18:C18" si="16">B49/(B28/365)</f>
        <v>10.076687116564417</v>
      </c>
      <c r="C18" s="61">
        <f t="shared" si="16"/>
        <v>9.9869706840390862</v>
      </c>
      <c r="D18" s="62">
        <f>D49/(D28/365)</f>
        <v>24.092409240924091</v>
      </c>
      <c r="E18" s="190">
        <f>D18</f>
        <v>24.092409240924091</v>
      </c>
      <c r="F18" s="185">
        <f t="shared" si="11"/>
        <v>24.092409240924091</v>
      </c>
      <c r="G18" s="185">
        <f t="shared" si="9"/>
        <v>24.092409240924091</v>
      </c>
      <c r="H18" s="185">
        <f t="shared" si="9"/>
        <v>24.092409240924091</v>
      </c>
      <c r="I18" s="186">
        <f t="shared" si="9"/>
        <v>24.092409240924091</v>
      </c>
      <c r="J18" s="93"/>
      <c r="K18" s="93"/>
      <c r="P18" s="52"/>
      <c r="Q18" s="52"/>
      <c r="R18" s="52"/>
      <c r="S18" s="52"/>
    </row>
    <row r="19" spans="1:23" x14ac:dyDescent="0.2">
      <c r="A19" s="17" t="s">
        <v>171</v>
      </c>
      <c r="B19" s="72">
        <f t="shared" ref="B19:C19" si="17">B51/B30</f>
        <v>4.779411764705882E-2</v>
      </c>
      <c r="C19" s="59">
        <f t="shared" si="17"/>
        <v>4.9645390070921988E-2</v>
      </c>
      <c r="D19" s="60">
        <f>D51/D30</f>
        <v>4.4871794871794872E-2</v>
      </c>
      <c r="E19" s="189">
        <f>D19</f>
        <v>4.4871794871794872E-2</v>
      </c>
      <c r="F19" s="183">
        <f t="shared" si="11"/>
        <v>4.4871794871794872E-2</v>
      </c>
      <c r="G19" s="183">
        <f t="shared" si="9"/>
        <v>4.4871794871794872E-2</v>
      </c>
      <c r="H19" s="183">
        <f t="shared" si="9"/>
        <v>4.4871794871794872E-2</v>
      </c>
      <c r="I19" s="184">
        <f t="shared" si="9"/>
        <v>4.4871794871794872E-2</v>
      </c>
      <c r="J19" s="93"/>
      <c r="K19" s="93"/>
      <c r="S19" s="52"/>
    </row>
    <row r="20" spans="1:23" ht="16" thickBot="1" x14ac:dyDescent="0.25">
      <c r="A20" s="18" t="s">
        <v>97</v>
      </c>
      <c r="B20" s="74"/>
      <c r="C20" s="63"/>
      <c r="D20" s="64"/>
      <c r="E20" s="191">
        <v>15</v>
      </c>
      <c r="F20" s="187">
        <f>E20</f>
        <v>15</v>
      </c>
      <c r="G20" s="187">
        <f t="shared" ref="G20:I20" si="18">F20</f>
        <v>15</v>
      </c>
      <c r="H20" s="187">
        <f t="shared" si="18"/>
        <v>15</v>
      </c>
      <c r="I20" s="188">
        <f t="shared" si="18"/>
        <v>15</v>
      </c>
      <c r="J20" s="65"/>
      <c r="K20" s="199" t="s">
        <v>173</v>
      </c>
      <c r="L20" s="199" t="s">
        <v>90</v>
      </c>
      <c r="S20" s="52"/>
    </row>
    <row r="21" spans="1:23" x14ac:dyDescent="0.2">
      <c r="A21" s="8" t="s">
        <v>170</v>
      </c>
      <c r="B21" s="66" t="s">
        <v>169</v>
      </c>
      <c r="G21" s="65"/>
      <c r="H21" s="65"/>
      <c r="I21" s="65"/>
      <c r="J21" s="93"/>
      <c r="K21" s="200">
        <f ca="1">E50</f>
        <v>349.28542201148139</v>
      </c>
      <c r="L21" s="200">
        <f ca="1">I50</f>
        <v>963.75494985328316</v>
      </c>
      <c r="U21" s="47"/>
      <c r="W21" s="47"/>
    </row>
    <row r="22" spans="1:23" ht="16" thickBot="1" x14ac:dyDescent="0.25">
      <c r="A22" s="201" t="s">
        <v>82</v>
      </c>
      <c r="B22" s="201"/>
      <c r="C22" s="201"/>
      <c r="D22" s="201"/>
      <c r="E22" s="201"/>
      <c r="F22" s="201"/>
      <c r="G22" s="201"/>
      <c r="H22" s="201"/>
      <c r="I22" s="201"/>
      <c r="J22" s="93"/>
      <c r="K22" s="93"/>
    </row>
    <row r="23" spans="1:23" outlineLevel="1" x14ac:dyDescent="0.2">
      <c r="A23" s="53"/>
      <c r="B23" s="83"/>
      <c r="C23" s="84"/>
      <c r="D23" s="84"/>
      <c r="E23" s="105"/>
      <c r="F23" s="84"/>
      <c r="G23" s="96"/>
      <c r="H23" s="84"/>
      <c r="I23" s="155"/>
    </row>
    <row r="24" spans="1:23" outlineLevel="1" x14ac:dyDescent="0.2">
      <c r="A24" s="44"/>
      <c r="B24" s="69">
        <v>2004</v>
      </c>
      <c r="C24" s="56">
        <v>2005</v>
      </c>
      <c r="D24" s="56">
        <v>2006</v>
      </c>
      <c r="E24" s="69">
        <v>2007</v>
      </c>
      <c r="F24" s="56">
        <f>E24+1</f>
        <v>2008</v>
      </c>
      <c r="G24" s="56">
        <f>F24+1</f>
        <v>2009</v>
      </c>
      <c r="H24" s="56">
        <f>G24+1</f>
        <v>2010</v>
      </c>
      <c r="I24" s="70">
        <f>H24+1</f>
        <v>2011</v>
      </c>
    </row>
    <row r="25" spans="1:23" outlineLevel="1" x14ac:dyDescent="0.2">
      <c r="A25" t="s">
        <v>0</v>
      </c>
      <c r="B25" s="97">
        <v>1624</v>
      </c>
      <c r="C25" s="98">
        <v>1916</v>
      </c>
      <c r="D25" s="98">
        <v>2242</v>
      </c>
      <c r="E25" s="97">
        <f>D25*(1+E4)</f>
        <v>2690.4</v>
      </c>
      <c r="F25" s="98">
        <f>E25*(1+F4)</f>
        <v>3228.48</v>
      </c>
      <c r="G25" s="98">
        <f>F25*(1+G4)</f>
        <v>3874.1759999999999</v>
      </c>
      <c r="H25" s="98">
        <f>G25*(1+H4)</f>
        <v>4649.0111999999999</v>
      </c>
      <c r="I25" s="99">
        <f>H25*(1+I4)</f>
        <v>5578.8134399999999</v>
      </c>
    </row>
    <row r="26" spans="1:23" outlineLevel="1" x14ac:dyDescent="0.2">
      <c r="A26" t="s">
        <v>174</v>
      </c>
      <c r="B26" s="97">
        <f>IF(B18&lt;10.1,B28/(1-B12),B28)</f>
        <v>1330.6122448979593</v>
      </c>
      <c r="C26" s="98">
        <f>IF(C18&lt;10.1,C28/(1-C12),C28)</f>
        <v>1566.3265306122448</v>
      </c>
      <c r="D26" s="98">
        <f>IF(D18&lt;10.1,D28/(1-D12),D28)</f>
        <v>1818</v>
      </c>
      <c r="E26" s="97">
        <f>E25*E5</f>
        <v>2181.6000000000004</v>
      </c>
      <c r="F26" s="98">
        <f>F25*F5</f>
        <v>2617.92</v>
      </c>
      <c r="G26" s="98">
        <f>G25*G5</f>
        <v>3141.5039999999999</v>
      </c>
      <c r="H26" s="98">
        <f>H25*H5</f>
        <v>3769.8048000000003</v>
      </c>
      <c r="I26" s="99">
        <f>I25*I5</f>
        <v>4523.7657600000002</v>
      </c>
      <c r="K26" s="156"/>
      <c r="L26" s="156"/>
      <c r="M26" s="156"/>
    </row>
    <row r="27" spans="1:23" outlineLevel="1" x14ac:dyDescent="0.2">
      <c r="A27" t="s">
        <v>94</v>
      </c>
      <c r="B27" s="97">
        <f>IF(B18&lt;10.1,B26*B12,0)</f>
        <v>26.612244897959187</v>
      </c>
      <c r="C27" s="98">
        <f t="shared" ref="C27:D27" si="19">IF(C18&lt;10,C26*C12,0)</f>
        <v>31.326530612244898</v>
      </c>
      <c r="D27" s="98">
        <f t="shared" si="19"/>
        <v>0</v>
      </c>
      <c r="E27" s="97">
        <f>IF(E18&lt;10.1,E26*E12,0)</f>
        <v>0</v>
      </c>
      <c r="F27" s="98">
        <f>IF(F18&lt;10.1,F26*F12,0)</f>
        <v>0</v>
      </c>
      <c r="G27" s="98">
        <f>IF(G18&lt;10.1,G26*G12,0)</f>
        <v>0</v>
      </c>
      <c r="H27" s="98">
        <f>IF(H18&lt;10.1,H26*H12,0)</f>
        <v>0</v>
      </c>
      <c r="I27" s="99">
        <f>IF(I18&lt;10.1,I26*I12,0)</f>
        <v>0</v>
      </c>
      <c r="K27" s="91"/>
    </row>
    <row r="28" spans="1:23" outlineLevel="1" x14ac:dyDescent="0.2">
      <c r="A28" t="s">
        <v>57</v>
      </c>
      <c r="B28" s="97">
        <v>1304</v>
      </c>
      <c r="C28" s="98">
        <v>1535</v>
      </c>
      <c r="D28" s="98">
        <v>1818</v>
      </c>
      <c r="E28" s="97">
        <f>E26-E27</f>
        <v>2181.6000000000004</v>
      </c>
      <c r="F28" s="98">
        <f>F26-F27</f>
        <v>2617.92</v>
      </c>
      <c r="G28" s="98">
        <f>G26-G27</f>
        <v>3141.5039999999999</v>
      </c>
      <c r="H28" s="98">
        <f>H26-H27</f>
        <v>3769.8048000000003</v>
      </c>
      <c r="I28" s="99">
        <f>I26-I27</f>
        <v>4523.7657600000002</v>
      </c>
      <c r="K28" s="10"/>
    </row>
    <row r="29" spans="1:23" outlineLevel="1" x14ac:dyDescent="0.2">
      <c r="A29" s="1" t="s">
        <v>1</v>
      </c>
      <c r="B29" s="100">
        <f t="shared" ref="B29:I29" si="20">B25-B28</f>
        <v>320</v>
      </c>
      <c r="C29" s="88">
        <f t="shared" si="20"/>
        <v>381</v>
      </c>
      <c r="D29" s="88">
        <f t="shared" si="20"/>
        <v>424</v>
      </c>
      <c r="E29" s="175">
        <f t="shared" si="20"/>
        <v>508.79999999999973</v>
      </c>
      <c r="F29" s="88">
        <f t="shared" si="20"/>
        <v>610.55999999999995</v>
      </c>
      <c r="G29" s="88">
        <f t="shared" si="20"/>
        <v>732.67200000000003</v>
      </c>
      <c r="H29" s="88">
        <f t="shared" si="20"/>
        <v>879.20639999999958</v>
      </c>
      <c r="I29" s="176">
        <f t="shared" si="20"/>
        <v>1055.0476799999997</v>
      </c>
    </row>
    <row r="30" spans="1:23" outlineLevel="1" x14ac:dyDescent="0.2">
      <c r="A30" t="s">
        <v>2</v>
      </c>
      <c r="B30" s="97">
        <v>272</v>
      </c>
      <c r="C30" s="98">
        <f>307-C31</f>
        <v>282</v>
      </c>
      <c r="D30" s="98">
        <f>347-D31</f>
        <v>312</v>
      </c>
      <c r="E30" s="177">
        <f>E25*E6</f>
        <v>374.4</v>
      </c>
      <c r="F30" s="98">
        <f>F25*F6</f>
        <v>449.28</v>
      </c>
      <c r="G30" s="98">
        <f>G25*G6</f>
        <v>539.13599999999997</v>
      </c>
      <c r="H30" s="98">
        <f>H25*H6</f>
        <v>646.96319999999992</v>
      </c>
      <c r="I30" s="178">
        <f>I25*I6</f>
        <v>776.35583999999994</v>
      </c>
      <c r="P30" s="201"/>
      <c r="Q30" s="201"/>
      <c r="R30" s="201"/>
      <c r="S30" s="201"/>
    </row>
    <row r="31" spans="1:23" outlineLevel="1" x14ac:dyDescent="0.2">
      <c r="A31" t="s">
        <v>96</v>
      </c>
      <c r="B31" s="97"/>
      <c r="C31" s="98">
        <f>B44-C44</f>
        <v>25</v>
      </c>
      <c r="D31" s="98">
        <f>C44-D44</f>
        <v>35</v>
      </c>
      <c r="E31" s="177">
        <f>(E43-D43)/E20+D31</f>
        <v>38.36</v>
      </c>
      <c r="F31" s="98">
        <f t="shared" ref="F31:I31" si="21">(F43-E43)/F20+E31</f>
        <v>42.392000000000003</v>
      </c>
      <c r="G31" s="98">
        <f t="shared" si="21"/>
        <v>47.230400000000003</v>
      </c>
      <c r="H31" s="98">
        <f t="shared" si="21"/>
        <v>53.036480000000005</v>
      </c>
      <c r="I31" s="178">
        <f t="shared" si="21"/>
        <v>60.003776000000009</v>
      </c>
      <c r="P31" s="201"/>
      <c r="Q31" s="201"/>
      <c r="R31" s="201"/>
      <c r="S31" s="201"/>
    </row>
    <row r="32" spans="1:23" outlineLevel="1" x14ac:dyDescent="0.2">
      <c r="A32" t="s">
        <v>93</v>
      </c>
      <c r="B32" s="97">
        <v>27</v>
      </c>
      <c r="C32" s="98">
        <v>30</v>
      </c>
      <c r="D32" s="98">
        <v>31</v>
      </c>
      <c r="E32" s="177">
        <f>(D52+E52+D54+E54)/2*E10</f>
        <v>11.68</v>
      </c>
      <c r="F32" s="98">
        <f>(E52+F52+E54+F54)/2*F10</f>
        <v>9.76</v>
      </c>
      <c r="G32" s="98">
        <f>(F52+G52+F54+G54)/2*G10</f>
        <v>7.84</v>
      </c>
      <c r="H32" s="98">
        <f>(G52+H52+G54+H54)/2*H10</f>
        <v>5.92</v>
      </c>
      <c r="I32" s="178">
        <f>(H52+I52+H54+I54)/2*I10</f>
        <v>4</v>
      </c>
      <c r="J32" s="91"/>
      <c r="P32" s="201"/>
      <c r="Q32" s="201"/>
      <c r="R32" s="201"/>
      <c r="S32" s="201"/>
    </row>
    <row r="33" spans="1:19" ht="15" customHeight="1" outlineLevel="1" x14ac:dyDescent="0.2">
      <c r="A33" t="s">
        <v>30</v>
      </c>
      <c r="B33" s="97"/>
      <c r="C33" s="98"/>
      <c r="D33" s="98"/>
      <c r="E33" s="179">
        <f ca="1">E11*(D50+E50)/2</f>
        <v>22.435703325430552</v>
      </c>
      <c r="F33" s="116">
        <f ca="1">F11*(E50+F50)/2</f>
        <v>30.608518320429582</v>
      </c>
      <c r="G33" s="116">
        <f ca="1">G11*(F50+G50)/2</f>
        <v>40.218633283579578</v>
      </c>
      <c r="H33" s="116">
        <f ca="1">H11*(G50+H50)/2</f>
        <v>51.562104922236472</v>
      </c>
      <c r="I33" s="180">
        <f ca="1">I11*(H50+I50)/2</f>
        <v>64.994597253154026</v>
      </c>
      <c r="P33" s="201"/>
      <c r="Q33" s="201"/>
      <c r="R33" s="201"/>
      <c r="S33" s="201"/>
    </row>
    <row r="34" spans="1:19" ht="15" customHeight="1" outlineLevel="1" x14ac:dyDescent="0.2">
      <c r="A34" s="1" t="s">
        <v>5</v>
      </c>
      <c r="B34" s="100">
        <f>B29-B30-B32</f>
        <v>21</v>
      </c>
      <c r="C34" s="88">
        <f>C29-C30-C32-C31</f>
        <v>44</v>
      </c>
      <c r="D34" s="88">
        <f>D29-D30-D32-D31</f>
        <v>46</v>
      </c>
      <c r="E34" s="112">
        <f ca="1">E29-E30-E32-E33-E31</f>
        <v>61.924296674569192</v>
      </c>
      <c r="F34" s="113">
        <f ca="1">F29-F30-F32-F33-F31</f>
        <v>78.51948167957039</v>
      </c>
      <c r="G34" s="113">
        <f ca="1">G29-G30-G32-G33-G31</f>
        <v>98.246966716420474</v>
      </c>
      <c r="H34" s="113">
        <f ca="1">H29-H30-H32-H33-H31</f>
        <v>121.72461507776319</v>
      </c>
      <c r="I34" s="114">
        <f ca="1">I29-I30-I32-I33-I31</f>
        <v>149.69346674684567</v>
      </c>
      <c r="P34" s="201"/>
      <c r="Q34" s="201"/>
      <c r="R34" s="201"/>
      <c r="S34" s="201"/>
    </row>
    <row r="35" spans="1:19" outlineLevel="1" x14ac:dyDescent="0.2">
      <c r="A35" t="s">
        <v>4</v>
      </c>
      <c r="B35" s="97">
        <v>7</v>
      </c>
      <c r="C35" s="98">
        <v>15</v>
      </c>
      <c r="D35" s="98">
        <v>16</v>
      </c>
      <c r="E35" s="115" cm="1">
        <f t="array" aca="1" ref="E35" ca="1">_xlfn.IFS(E34&lt;40,E34*E7,E34&lt;60,40*E7+(E34-40)*E8,TRUE,40*E7+(60-40)*E8+(E34-60)*E9)</f>
        <v>19.769718669827675</v>
      </c>
      <c r="F35" s="116" cm="1">
        <f t="array" aca="1" ref="F35" ca="1">_xlfn.IFS(F34&lt;40,F34*F7,F34&lt;60,40*F7+(F34-40)*F8,TRUE,40*F7+(60-40)*F8+(F34-60)*F9)</f>
        <v>26.407792671828155</v>
      </c>
      <c r="G35" s="116" cm="1">
        <f t="array" aca="1" ref="G35" ca="1">_xlfn.IFS(G34&lt;40,G34*G7,G34&lt;60,40*G7+(G34-40)*G8,TRUE,40*G7+(60-40)*G8+(G34-60)*G9)</f>
        <v>34.298786686568192</v>
      </c>
      <c r="H35" s="116" cm="1">
        <f t="array" aca="1" ref="H35" ca="1">_xlfn.IFS(H34&lt;40,H34*H7,H34&lt;60,40*H7+(H34-40)*H8,TRUE,40*H7+(60-40)*H8+(H34-60)*H9)</f>
        <v>43.689846031105276</v>
      </c>
      <c r="I35" s="117" cm="1">
        <f t="array" aca="1" ref="I35" ca="1">_xlfn.IFS(I34&lt;40,I34*I7,I34&lt;60,40*I7+(I34-40)*I8,TRUE,40*I7+(60-40)*I8+(I34-60)*I9)</f>
        <v>54.87738669873827</v>
      </c>
      <c r="K35" s="98"/>
      <c r="P35" s="201"/>
      <c r="Q35" s="201"/>
      <c r="R35" s="201"/>
      <c r="S35" s="201"/>
    </row>
    <row r="36" spans="1:19" ht="16" outlineLevel="1" thickBot="1" x14ac:dyDescent="0.25">
      <c r="A36" s="95" t="s">
        <v>3</v>
      </c>
      <c r="B36" s="102">
        <f t="shared" ref="B36:D36" si="22">B34-B35</f>
        <v>14</v>
      </c>
      <c r="C36" s="103">
        <f t="shared" si="22"/>
        <v>29</v>
      </c>
      <c r="D36" s="103">
        <f t="shared" si="22"/>
        <v>30</v>
      </c>
      <c r="E36" s="128">
        <f ca="1">E34-E35</f>
        <v>42.154578004741516</v>
      </c>
      <c r="F36" s="129">
        <f ca="1">F34-F35</f>
        <v>52.111689007742235</v>
      </c>
      <c r="G36" s="129">
        <f ca="1">G34-G35</f>
        <v>63.948180029852281</v>
      </c>
      <c r="H36" s="129">
        <f ca="1">H34-H35</f>
        <v>78.034769046657914</v>
      </c>
      <c r="I36" s="130">
        <f ca="1">I34-I35</f>
        <v>94.816080048107409</v>
      </c>
      <c r="P36" s="201"/>
      <c r="Q36" s="201"/>
      <c r="R36" s="201"/>
      <c r="S36" s="201"/>
    </row>
    <row r="37" spans="1:19" ht="17" thickTop="1" thickBot="1" x14ac:dyDescent="0.25">
      <c r="B37" s="89"/>
      <c r="C37" s="89"/>
      <c r="D37" s="89"/>
      <c r="E37" s="89"/>
      <c r="F37" s="89"/>
      <c r="G37" s="89"/>
      <c r="H37" s="89"/>
      <c r="I37" s="89"/>
      <c r="P37" s="201"/>
      <c r="Q37" s="201"/>
      <c r="R37" s="201"/>
      <c r="S37" s="201"/>
    </row>
    <row r="38" spans="1:19" x14ac:dyDescent="0.2">
      <c r="A38" s="44"/>
      <c r="B38" s="107">
        <v>2004</v>
      </c>
      <c r="C38" s="108">
        <v>2005</v>
      </c>
      <c r="D38" s="108">
        <v>2006</v>
      </c>
      <c r="E38" s="107">
        <v>2007</v>
      </c>
      <c r="F38" s="108">
        <f>E38+1</f>
        <v>2008</v>
      </c>
      <c r="G38" s="108">
        <f>F38+1</f>
        <v>2009</v>
      </c>
      <c r="H38" s="108">
        <f>G38+1</f>
        <v>2010</v>
      </c>
      <c r="I38" s="109">
        <f>H38+1</f>
        <v>2011</v>
      </c>
      <c r="K38" s="86"/>
      <c r="P38" s="201"/>
      <c r="Q38" s="201"/>
      <c r="R38" s="201"/>
      <c r="S38" s="201"/>
    </row>
    <row r="39" spans="1:19" outlineLevel="1" x14ac:dyDescent="0.2">
      <c r="A39" t="s">
        <v>6</v>
      </c>
      <c r="B39" s="97">
        <v>45</v>
      </c>
      <c r="C39" s="98">
        <v>53</v>
      </c>
      <c r="D39" s="98">
        <v>23</v>
      </c>
      <c r="E39" s="97">
        <f>E25*E13</f>
        <v>27.6</v>
      </c>
      <c r="F39" s="98">
        <f>F25*F13</f>
        <v>33.120000000000005</v>
      </c>
      <c r="G39" s="98">
        <f>G25*G13</f>
        <v>39.744</v>
      </c>
      <c r="H39" s="98">
        <f>H25*H13</f>
        <v>47.692800000000005</v>
      </c>
      <c r="I39" s="99">
        <f>I25*I13</f>
        <v>57.231360000000002</v>
      </c>
      <c r="P39" s="201"/>
      <c r="Q39" s="201"/>
      <c r="R39" s="201"/>
      <c r="S39" s="201"/>
    </row>
    <row r="40" spans="1:19" outlineLevel="1" x14ac:dyDescent="0.2">
      <c r="A40" t="s">
        <v>7</v>
      </c>
      <c r="B40" s="97">
        <v>187</v>
      </c>
      <c r="C40" s="98">
        <v>231</v>
      </c>
      <c r="D40" s="98">
        <v>264</v>
      </c>
      <c r="E40" s="97">
        <f>E14*(E25/365)</f>
        <v>316.8</v>
      </c>
      <c r="F40" s="98">
        <f>F14*(F25/365)</f>
        <v>380.16</v>
      </c>
      <c r="G40" s="98">
        <f>G14*(G25/365)</f>
        <v>456.19200000000001</v>
      </c>
      <c r="H40" s="98">
        <f>H14*(H25/365)</f>
        <v>547.43040000000008</v>
      </c>
      <c r="I40" s="99">
        <f>I14*(I25/365)</f>
        <v>656.91647999999998</v>
      </c>
      <c r="P40" s="201"/>
      <c r="Q40" s="201"/>
      <c r="R40" s="201"/>
      <c r="S40" s="201"/>
    </row>
    <row r="41" spans="1:19" outlineLevel="1" x14ac:dyDescent="0.2">
      <c r="A41" t="s">
        <v>8</v>
      </c>
      <c r="B41" s="97">
        <v>243</v>
      </c>
      <c r="C41" s="98">
        <v>278</v>
      </c>
      <c r="D41" s="98">
        <v>379</v>
      </c>
      <c r="E41" s="115">
        <f>E15*(E28/365)</f>
        <v>454.80000000000013</v>
      </c>
      <c r="F41" s="116">
        <f>F15*(F28/365)</f>
        <v>545.76</v>
      </c>
      <c r="G41" s="116">
        <f>G15*(G28/365)</f>
        <v>654.91199999999992</v>
      </c>
      <c r="H41" s="116">
        <f>H15*(H28/365)</f>
        <v>785.89440000000002</v>
      </c>
      <c r="I41" s="117">
        <f>I15*(I28/365)</f>
        <v>943.07328000000007</v>
      </c>
      <c r="P41" s="201"/>
      <c r="Q41" s="201"/>
      <c r="R41" s="201"/>
      <c r="S41" s="201"/>
    </row>
    <row r="42" spans="1:19" outlineLevel="1" x14ac:dyDescent="0.2">
      <c r="A42" s="1" t="s">
        <v>9</v>
      </c>
      <c r="B42" s="100">
        <f t="shared" ref="B42:I42" si="23">SUM(B39:B41)</f>
        <v>475</v>
      </c>
      <c r="C42" s="88">
        <f t="shared" si="23"/>
        <v>562</v>
      </c>
      <c r="D42" s="88">
        <f t="shared" si="23"/>
        <v>666</v>
      </c>
      <c r="E42" s="112">
        <f t="shared" si="23"/>
        <v>799.20000000000016</v>
      </c>
      <c r="F42" s="113">
        <f t="shared" si="23"/>
        <v>959.04</v>
      </c>
      <c r="G42" s="113">
        <f t="shared" si="23"/>
        <v>1150.848</v>
      </c>
      <c r="H42" s="113">
        <f t="shared" si="23"/>
        <v>1381.0176000000001</v>
      </c>
      <c r="I42" s="114">
        <f t="shared" si="23"/>
        <v>1657.2211200000002</v>
      </c>
      <c r="P42" s="201"/>
      <c r="Q42" s="201"/>
      <c r="R42" s="201"/>
      <c r="S42" s="201"/>
    </row>
    <row r="43" spans="1:19" outlineLevel="1" x14ac:dyDescent="0.2">
      <c r="A43" t="s">
        <v>144</v>
      </c>
      <c r="B43" s="97">
        <v>187</v>
      </c>
      <c r="C43" s="98">
        <v>202</v>
      </c>
      <c r="D43" s="98">
        <v>252</v>
      </c>
      <c r="E43" s="97">
        <f>E16*E25</f>
        <v>302.39999999999998</v>
      </c>
      <c r="F43" s="98">
        <f>F16*F25</f>
        <v>362.88</v>
      </c>
      <c r="G43" s="98">
        <f>G16*G25</f>
        <v>435.45599999999996</v>
      </c>
      <c r="H43" s="98">
        <f>H16*H25</f>
        <v>522.54719999999998</v>
      </c>
      <c r="I43" s="99">
        <f>I16*I25</f>
        <v>627.05664000000002</v>
      </c>
    </row>
    <row r="44" spans="1:19" outlineLevel="1" x14ac:dyDescent="0.2">
      <c r="A44" t="s">
        <v>10</v>
      </c>
      <c r="B44" s="97">
        <v>-74</v>
      </c>
      <c r="C44" s="98">
        <v>-99</v>
      </c>
      <c r="D44" s="98">
        <v>-134</v>
      </c>
      <c r="E44" s="115">
        <f>D44-E31</f>
        <v>-172.36</v>
      </c>
      <c r="F44" s="116">
        <f>E44-F31</f>
        <v>-214.75200000000001</v>
      </c>
      <c r="G44" s="116">
        <f>F44-G31</f>
        <v>-261.98239999999998</v>
      </c>
      <c r="H44" s="116">
        <f>G44-H31</f>
        <v>-315.01887999999997</v>
      </c>
      <c r="I44" s="117">
        <f>H44-I31</f>
        <v>-375.02265599999998</v>
      </c>
      <c r="L44" s="51"/>
    </row>
    <row r="45" spans="1:19" outlineLevel="1" x14ac:dyDescent="0.2">
      <c r="A45" s="1" t="s">
        <v>11</v>
      </c>
      <c r="B45" s="100">
        <f>SUM(B43:B44)</f>
        <v>113</v>
      </c>
      <c r="C45" s="88">
        <f>SUM(C43:C44)</f>
        <v>103</v>
      </c>
      <c r="D45" s="88">
        <f>SUM(D43:D44)</f>
        <v>118</v>
      </c>
      <c r="E45" s="112">
        <f>E43+E44</f>
        <v>130.03999999999996</v>
      </c>
      <c r="F45" s="113">
        <f>F43+F44</f>
        <v>148.12799999999999</v>
      </c>
      <c r="G45" s="113">
        <f>G43+G44</f>
        <v>173.47359999999998</v>
      </c>
      <c r="H45" s="113">
        <f>H43+H44</f>
        <v>207.52832000000001</v>
      </c>
      <c r="I45" s="114">
        <f>I43+I44</f>
        <v>252.03398400000003</v>
      </c>
    </row>
    <row r="46" spans="1:19" outlineLevel="1" x14ac:dyDescent="0.2">
      <c r="B46" s="97"/>
      <c r="C46" s="98"/>
      <c r="D46" s="98"/>
      <c r="E46" s="97"/>
      <c r="F46" s="98"/>
      <c r="G46" s="98"/>
      <c r="H46" s="98"/>
      <c r="I46" s="99"/>
    </row>
    <row r="47" spans="1:19" ht="16" outlineLevel="1" thickBot="1" x14ac:dyDescent="0.25">
      <c r="A47" s="106" t="s">
        <v>12</v>
      </c>
      <c r="B47" s="110">
        <f>SUM(B45,B42)</f>
        <v>588</v>
      </c>
      <c r="C47" s="90">
        <f>SUM(C45,C42)</f>
        <v>665</v>
      </c>
      <c r="D47" s="90">
        <f>SUM(D45,D42)</f>
        <v>784</v>
      </c>
      <c r="E47" s="110">
        <f>E45+E42</f>
        <v>929.24000000000012</v>
      </c>
      <c r="F47" s="90">
        <f>F45+F42</f>
        <v>1107.1679999999999</v>
      </c>
      <c r="G47" s="90">
        <f>G45+G42</f>
        <v>1324.3216</v>
      </c>
      <c r="H47" s="90">
        <f>H45+H42</f>
        <v>1588.54592</v>
      </c>
      <c r="I47" s="111">
        <f>I45+I42</f>
        <v>1909.2551040000003</v>
      </c>
    </row>
    <row r="48" spans="1:19" ht="16" outlineLevel="1" thickTop="1" x14ac:dyDescent="0.2">
      <c r="B48" s="97"/>
      <c r="C48" s="98"/>
      <c r="D48" s="99"/>
      <c r="E48" s="97"/>
      <c r="F48" s="98"/>
      <c r="G48" s="98"/>
      <c r="H48" s="98"/>
      <c r="I48" s="99"/>
    </row>
    <row r="49" spans="1:13" outlineLevel="1" x14ac:dyDescent="0.2">
      <c r="A49" t="s">
        <v>13</v>
      </c>
      <c r="B49" s="97">
        <v>36</v>
      </c>
      <c r="C49" s="98">
        <v>42</v>
      </c>
      <c r="D49" s="99">
        <v>120</v>
      </c>
      <c r="E49" s="97">
        <f>E18*E26/365</f>
        <v>144.00000000000003</v>
      </c>
      <c r="F49" s="98">
        <f>F18*F26/365</f>
        <v>172.8</v>
      </c>
      <c r="G49" s="98">
        <f>G18*G26/365</f>
        <v>207.35999999999999</v>
      </c>
      <c r="H49" s="98">
        <f>H18*H26/365</f>
        <v>248.83200000000002</v>
      </c>
      <c r="I49" s="99">
        <f>I18*I26/365</f>
        <v>298.59839999999997</v>
      </c>
      <c r="K49" s="91"/>
    </row>
    <row r="50" spans="1:13" outlineLevel="1" x14ac:dyDescent="0.2">
      <c r="A50" t="s">
        <v>14</v>
      </c>
      <c r="B50" s="97">
        <v>149</v>
      </c>
      <c r="C50" s="98">
        <v>214</v>
      </c>
      <c r="D50" s="99">
        <f>249+243-D58</f>
        <v>249</v>
      </c>
      <c r="E50" s="97">
        <f ca="1">IF($B$21="on",IF(E47&gt;(E49+E51+E52+E54+E58),E47-E49-E51-E52-E54-E58,0),0)</f>
        <v>349.28542201148139</v>
      </c>
      <c r="F50" s="98">
        <f ca="1">IF($B$21="on",IF(F47&gt;(F49+F51+F52+F54+F58),F47-F49-F51-F52-F54-F58,0),0)</f>
        <v>466.94173319997412</v>
      </c>
      <c r="G50" s="98">
        <f ca="1">IF($B$21="on",IF(G47&gt;(G49+G51+G52+G54+G58),G47-G49-G51-G52-G54-G58,0),0)</f>
        <v>605.55515436214807</v>
      </c>
      <c r="H50" s="98">
        <f ca="1">IF($B$21="on",IF(H47&gt;(H49+H51+H52+H54+H58),H47-H49-H51-H52-H54-H58,0),0)</f>
        <v>769.43431023082405</v>
      </c>
      <c r="I50" s="99">
        <f ca="1">IF($B$21="on",IF(I47&gt;(I49+I51+I52+I54+I58),I47-I49-I51-I52-I54-I58,0),0)</f>
        <v>963.75494985328157</v>
      </c>
      <c r="J50" s="47"/>
      <c r="K50" s="47"/>
      <c r="L50" s="47"/>
      <c r="M50" s="47"/>
    </row>
    <row r="51" spans="1:13" outlineLevel="1" x14ac:dyDescent="0.2">
      <c r="A51" t="s">
        <v>15</v>
      </c>
      <c r="B51" s="97">
        <v>13</v>
      </c>
      <c r="C51" s="98">
        <v>14</v>
      </c>
      <c r="D51" s="99">
        <v>14</v>
      </c>
      <c r="E51" s="97">
        <f>E19*E30</f>
        <v>16.8</v>
      </c>
      <c r="F51" s="98">
        <f>F19*F30</f>
        <v>20.16</v>
      </c>
      <c r="G51" s="98">
        <f>G19*G30</f>
        <v>24.192</v>
      </c>
      <c r="H51" s="98">
        <f>H19*H30</f>
        <v>29.030399999999997</v>
      </c>
      <c r="I51" s="99">
        <f>I19*I30</f>
        <v>34.836479999999995</v>
      </c>
      <c r="K51" s="91"/>
    </row>
    <row r="52" spans="1:13" outlineLevel="1" x14ac:dyDescent="0.2">
      <c r="A52" t="s">
        <v>16</v>
      </c>
      <c r="B52" s="97">
        <v>24</v>
      </c>
      <c r="C52" s="98">
        <v>24</v>
      </c>
      <c r="D52" s="99">
        <v>24</v>
      </c>
      <c r="E52" s="97">
        <f>D52</f>
        <v>24</v>
      </c>
      <c r="F52" s="98">
        <f>E52</f>
        <v>24</v>
      </c>
      <c r="G52" s="98">
        <f>F52</f>
        <v>24</v>
      </c>
      <c r="H52" s="98">
        <f>G52</f>
        <v>24</v>
      </c>
      <c r="I52" s="99">
        <f>H52</f>
        <v>24</v>
      </c>
    </row>
    <row r="53" spans="1:13" outlineLevel="1" x14ac:dyDescent="0.2">
      <c r="A53" s="1" t="s">
        <v>17</v>
      </c>
      <c r="B53" s="100">
        <f t="shared" ref="B53:D53" si="24">SUM(B49:B52)</f>
        <v>222</v>
      </c>
      <c r="C53" s="88">
        <f t="shared" si="24"/>
        <v>294</v>
      </c>
      <c r="D53" s="101">
        <f t="shared" si="24"/>
        <v>407</v>
      </c>
      <c r="E53" s="100">
        <f ca="1">SUM(E49:E52)</f>
        <v>534.08542201148134</v>
      </c>
      <c r="F53" s="88">
        <f ca="1">SUM(F49:F52)</f>
        <v>683.90173319997405</v>
      </c>
      <c r="G53" s="88">
        <f ca="1">SUM(G49:G52)</f>
        <v>861.10715436214809</v>
      </c>
      <c r="H53" s="88">
        <f ca="1">SUM(H49:H52)</f>
        <v>1071.2967102308241</v>
      </c>
      <c r="I53" s="101">
        <f ca="1">SUM(I49:I52)</f>
        <v>1321.1898298532815</v>
      </c>
    </row>
    <row r="54" spans="1:13" outlineLevel="1" x14ac:dyDescent="0.2">
      <c r="A54" t="s">
        <v>18</v>
      </c>
      <c r="B54" s="97">
        <v>182</v>
      </c>
      <c r="C54" s="98">
        <v>158</v>
      </c>
      <c r="D54" s="99">
        <v>134</v>
      </c>
      <c r="E54" s="97">
        <f>D54-E52</f>
        <v>110</v>
      </c>
      <c r="F54" s="98">
        <f>E54-F52</f>
        <v>86</v>
      </c>
      <c r="G54" s="98">
        <f>F54-G52</f>
        <v>62</v>
      </c>
      <c r="H54" s="98">
        <f>G54-H52</f>
        <v>38</v>
      </c>
      <c r="I54" s="99">
        <f>H54-I52</f>
        <v>14</v>
      </c>
    </row>
    <row r="55" spans="1:13" outlineLevel="1" x14ac:dyDescent="0.2">
      <c r="B55" s="97"/>
      <c r="C55" s="98"/>
      <c r="D55" s="99"/>
      <c r="E55" s="97"/>
      <c r="F55" s="98"/>
      <c r="G55" s="98"/>
      <c r="H55" s="98"/>
      <c r="I55" s="99"/>
    </row>
    <row r="56" spans="1:13" ht="16" outlineLevel="1" thickBot="1" x14ac:dyDescent="0.25">
      <c r="A56" s="106" t="s">
        <v>19</v>
      </c>
      <c r="B56" s="110">
        <f>SUM(B54,B53)</f>
        <v>404</v>
      </c>
      <c r="C56" s="90">
        <f>SUM(C54,C53)</f>
        <v>452</v>
      </c>
      <c r="D56" s="111">
        <f>SUM(D54,D53)</f>
        <v>541</v>
      </c>
      <c r="E56" s="110">
        <f ca="1">E54+E53</f>
        <v>644.08542201148134</v>
      </c>
      <c r="F56" s="90">
        <f ca="1">F54+F53</f>
        <v>769.90173319997405</v>
      </c>
      <c r="G56" s="90">
        <f ca="1">G54+G53</f>
        <v>923.10715436214809</v>
      </c>
      <c r="H56" s="90">
        <f ca="1">H54+H53</f>
        <v>1109.2967102308241</v>
      </c>
      <c r="I56" s="111">
        <f ca="1">I54+I53</f>
        <v>1335.1898298532815</v>
      </c>
    </row>
    <row r="57" spans="1:13" ht="16" outlineLevel="1" thickTop="1" x14ac:dyDescent="0.2">
      <c r="B57" s="97"/>
      <c r="C57" s="98"/>
      <c r="D57" s="99"/>
      <c r="E57" s="97"/>
      <c r="F57" s="98"/>
      <c r="G57" s="98"/>
      <c r="H57" s="98"/>
      <c r="I57" s="99"/>
    </row>
    <row r="58" spans="1:13" ht="16" outlineLevel="1" thickBot="1" x14ac:dyDescent="0.25">
      <c r="A58" s="106" t="s">
        <v>20</v>
      </c>
      <c r="B58" s="110">
        <v>184</v>
      </c>
      <c r="C58" s="90">
        <v>213</v>
      </c>
      <c r="D58" s="111">
        <v>243</v>
      </c>
      <c r="E58" s="110">
        <f ca="1">D58+E36</f>
        <v>285.1545780047415</v>
      </c>
      <c r="F58" s="90">
        <f ca="1">E58+F36</f>
        <v>337.26626701248375</v>
      </c>
      <c r="G58" s="90">
        <f ca="1">F58+G36</f>
        <v>401.21444704233602</v>
      </c>
      <c r="H58" s="90">
        <f ca="1">G58+H36</f>
        <v>479.24921608899393</v>
      </c>
      <c r="I58" s="111">
        <f ca="1">H58+I36</f>
        <v>574.06529613710131</v>
      </c>
    </row>
    <row r="59" spans="1:13" ht="16" outlineLevel="1" thickTop="1" x14ac:dyDescent="0.2">
      <c r="B59" s="97"/>
      <c r="C59" s="98"/>
      <c r="D59" s="99"/>
      <c r="E59" s="97"/>
      <c r="F59" s="98"/>
      <c r="G59" s="98"/>
      <c r="H59" s="98"/>
      <c r="I59" s="99"/>
    </row>
    <row r="60" spans="1:13" ht="16" outlineLevel="1" thickBot="1" x14ac:dyDescent="0.25">
      <c r="A60" s="95" t="s">
        <v>21</v>
      </c>
      <c r="B60" s="102">
        <f>SUM(B58,B56)</f>
        <v>588</v>
      </c>
      <c r="C60" s="103">
        <f>SUM(C58,C56)</f>
        <v>665</v>
      </c>
      <c r="D60" s="104">
        <f>SUM(D58,D56)</f>
        <v>784</v>
      </c>
      <c r="E60" s="102">
        <f ca="1">E58+E56</f>
        <v>929.24000001622289</v>
      </c>
      <c r="F60" s="103">
        <f ca="1">F58+F56</f>
        <v>1107.1680002124579</v>
      </c>
      <c r="G60" s="103">
        <f ca="1">G58+G56</f>
        <v>1324.3216014044842</v>
      </c>
      <c r="H60" s="103">
        <f ca="1">H58+H56</f>
        <v>1588.5459263198181</v>
      </c>
      <c r="I60" s="104">
        <f ca="1">I58+I56</f>
        <v>1909.2551259903828</v>
      </c>
    </row>
    <row r="61" spans="1:13" ht="16" thickTop="1" x14ac:dyDescent="0.2">
      <c r="B61" s="91"/>
      <c r="C61" s="91"/>
      <c r="D61" s="91"/>
      <c r="E61" s="139"/>
      <c r="F61" s="139"/>
      <c r="G61" s="139"/>
      <c r="H61" s="139"/>
      <c r="I61" s="139"/>
    </row>
    <row r="62" spans="1:13" ht="16" thickBot="1" x14ac:dyDescent="0.25">
      <c r="B62" s="91"/>
      <c r="C62" s="91"/>
      <c r="D62" s="91"/>
      <c r="E62" s="91"/>
      <c r="F62" s="91"/>
      <c r="G62" s="91"/>
      <c r="H62" s="91"/>
      <c r="I62" s="91"/>
    </row>
    <row r="63" spans="1:13" outlineLevel="1" x14ac:dyDescent="0.2">
      <c r="A63" s="44" t="s">
        <v>59</v>
      </c>
      <c r="B63" s="192"/>
      <c r="C63" s="108">
        <v>2005</v>
      </c>
      <c r="D63" s="109">
        <v>2006</v>
      </c>
      <c r="E63" s="56">
        <f>D63+1</f>
        <v>2007</v>
      </c>
      <c r="F63" s="56">
        <f>E63+1</f>
        <v>2008</v>
      </c>
      <c r="G63" s="56">
        <f>F63+1</f>
        <v>2009</v>
      </c>
      <c r="H63" s="56">
        <f>G63+1</f>
        <v>2010</v>
      </c>
      <c r="I63" s="56">
        <f>H63+1</f>
        <v>2011</v>
      </c>
    </row>
    <row r="64" spans="1:13" outlineLevel="1" x14ac:dyDescent="0.2">
      <c r="A64" t="s">
        <v>3</v>
      </c>
      <c r="B64" s="193"/>
      <c r="C64" s="91">
        <f t="shared" ref="C64:I64" si="25">C36</f>
        <v>29</v>
      </c>
      <c r="D64" s="194">
        <f t="shared" si="25"/>
        <v>30</v>
      </c>
      <c r="E64" s="91">
        <f t="shared" ca="1" si="25"/>
        <v>42.154578004741516</v>
      </c>
      <c r="F64" s="91">
        <f t="shared" ca="1" si="25"/>
        <v>52.111689007742235</v>
      </c>
      <c r="G64" s="91">
        <f t="shared" ca="1" si="25"/>
        <v>63.948180029852281</v>
      </c>
      <c r="H64" s="91">
        <f t="shared" ca="1" si="25"/>
        <v>78.034769046657914</v>
      </c>
      <c r="I64" s="91">
        <f t="shared" ca="1" si="25"/>
        <v>94.816080048107409</v>
      </c>
    </row>
    <row r="65" spans="1:9" outlineLevel="1" x14ac:dyDescent="0.2">
      <c r="A65" t="s">
        <v>60</v>
      </c>
      <c r="B65" s="193"/>
      <c r="C65" s="91">
        <f>C31</f>
        <v>25</v>
      </c>
      <c r="D65" s="194">
        <f t="shared" ref="D65:I65" si="26">D31</f>
        <v>35</v>
      </c>
      <c r="E65" s="91">
        <f t="shared" si="26"/>
        <v>38.36</v>
      </c>
      <c r="F65" s="91">
        <f t="shared" si="26"/>
        <v>42.392000000000003</v>
      </c>
      <c r="G65" s="91">
        <f t="shared" si="26"/>
        <v>47.230400000000003</v>
      </c>
      <c r="H65" s="91">
        <f t="shared" si="26"/>
        <v>53.036480000000005</v>
      </c>
      <c r="I65" s="91">
        <f t="shared" si="26"/>
        <v>60.003776000000009</v>
      </c>
    </row>
    <row r="66" spans="1:9" ht="15" customHeight="1" outlineLevel="1" x14ac:dyDescent="0.2">
      <c r="A66" t="s">
        <v>61</v>
      </c>
      <c r="B66" s="193"/>
      <c r="C66" s="91">
        <f t="shared" ref="C66:I67" si="27">B40-C40</f>
        <v>-44</v>
      </c>
      <c r="D66" s="194">
        <f t="shared" si="27"/>
        <v>-33</v>
      </c>
      <c r="E66" s="91">
        <f t="shared" si="27"/>
        <v>-52.800000000000011</v>
      </c>
      <c r="F66" s="91">
        <f t="shared" si="27"/>
        <v>-63.360000000000014</v>
      </c>
      <c r="G66" s="91">
        <f t="shared" si="27"/>
        <v>-76.031999999999982</v>
      </c>
      <c r="H66" s="91">
        <f t="shared" si="27"/>
        <v>-91.23840000000007</v>
      </c>
      <c r="I66" s="91">
        <f t="shared" si="27"/>
        <v>-109.4860799999999</v>
      </c>
    </row>
    <row r="67" spans="1:9" ht="15" customHeight="1" outlineLevel="1" x14ac:dyDescent="0.2">
      <c r="A67" t="s">
        <v>62</v>
      </c>
      <c r="B67" s="193"/>
      <c r="C67" s="91">
        <f t="shared" si="27"/>
        <v>-35</v>
      </c>
      <c r="D67" s="194">
        <f t="shared" si="27"/>
        <v>-101</v>
      </c>
      <c r="E67" s="91">
        <f t="shared" si="27"/>
        <v>-75.800000000000125</v>
      </c>
      <c r="F67" s="91">
        <f t="shared" si="27"/>
        <v>-90.959999999999866</v>
      </c>
      <c r="G67" s="91">
        <f t="shared" si="27"/>
        <v>-109.15199999999993</v>
      </c>
      <c r="H67" s="91">
        <f t="shared" si="27"/>
        <v>-130.9824000000001</v>
      </c>
      <c r="I67" s="91">
        <f t="shared" si="27"/>
        <v>-157.17888000000005</v>
      </c>
    </row>
    <row r="68" spans="1:9" outlineLevel="1" x14ac:dyDescent="0.2">
      <c r="A68" s="46" t="s">
        <v>63</v>
      </c>
      <c r="B68" s="193"/>
      <c r="C68" s="91">
        <f t="shared" ref="C68:I68" si="28">C49-B49</f>
        <v>6</v>
      </c>
      <c r="D68" s="194">
        <f t="shared" si="28"/>
        <v>78</v>
      </c>
      <c r="E68" s="91">
        <f t="shared" si="28"/>
        <v>24.000000000000028</v>
      </c>
      <c r="F68" s="91">
        <f t="shared" si="28"/>
        <v>28.799999999999983</v>
      </c>
      <c r="G68" s="91">
        <f t="shared" si="28"/>
        <v>34.559999999999974</v>
      </c>
      <c r="H68" s="91">
        <f t="shared" si="28"/>
        <v>41.472000000000037</v>
      </c>
      <c r="I68" s="91">
        <f t="shared" si="28"/>
        <v>49.766399999999948</v>
      </c>
    </row>
    <row r="69" spans="1:9" ht="18" customHeight="1" outlineLevel="1" x14ac:dyDescent="0.2">
      <c r="A69" s="44" t="s">
        <v>64</v>
      </c>
      <c r="B69" s="195"/>
      <c r="C69" s="92">
        <f t="shared" ref="C69:I69" si="29">C51-B51</f>
        <v>1</v>
      </c>
      <c r="D69" s="196">
        <f t="shared" si="29"/>
        <v>0</v>
      </c>
      <c r="E69" s="92">
        <f t="shared" si="29"/>
        <v>2.8000000000000007</v>
      </c>
      <c r="F69" s="92">
        <f t="shared" si="29"/>
        <v>3.3599999999999994</v>
      </c>
      <c r="G69" s="92">
        <f t="shared" si="29"/>
        <v>4.032</v>
      </c>
      <c r="H69" s="92">
        <f t="shared" si="29"/>
        <v>4.8383999999999965</v>
      </c>
      <c r="I69" s="92">
        <f t="shared" si="29"/>
        <v>5.8060799999999979</v>
      </c>
    </row>
    <row r="70" spans="1:9" outlineLevel="1" x14ac:dyDescent="0.2">
      <c r="A70" t="s">
        <v>66</v>
      </c>
      <c r="B70" s="193"/>
      <c r="C70" s="91">
        <f t="shared" ref="C70:D70" si="30">SUM(C64:C69)</f>
        <v>-18</v>
      </c>
      <c r="D70" s="194">
        <f t="shared" si="30"/>
        <v>9</v>
      </c>
      <c r="E70" s="91">
        <f ca="1">SUM(E64:E69)</f>
        <v>-21.285421995258599</v>
      </c>
      <c r="F70" s="91">
        <f ca="1">SUM(F64:F69)</f>
        <v>-27.656310992257659</v>
      </c>
      <c r="G70" s="91">
        <f ca="1">SUM(G64:G69)</f>
        <v>-35.413419970147658</v>
      </c>
      <c r="H70" s="91">
        <f ca="1">SUM(H64:H69)</f>
        <v>-44.839150953342212</v>
      </c>
      <c r="I70" s="91">
        <f ca="1">SUM(I64:I69)</f>
        <v>-56.272623951892584</v>
      </c>
    </row>
    <row r="71" spans="1:9" outlineLevel="1" x14ac:dyDescent="0.2">
      <c r="B71" s="193"/>
      <c r="C71" s="91"/>
      <c r="D71" s="194"/>
      <c r="E71" s="91"/>
      <c r="F71" s="91"/>
      <c r="G71" s="91"/>
      <c r="H71" s="91"/>
      <c r="I71" s="91"/>
    </row>
    <row r="72" spans="1:9" outlineLevel="1" x14ac:dyDescent="0.2">
      <c r="A72" s="44" t="s">
        <v>40</v>
      </c>
      <c r="B72" s="195"/>
      <c r="C72" s="92">
        <f t="shared" ref="C72:I72" si="31">B43-C43</f>
        <v>-15</v>
      </c>
      <c r="D72" s="196">
        <f t="shared" si="31"/>
        <v>-50</v>
      </c>
      <c r="E72" s="92">
        <f t="shared" si="31"/>
        <v>-50.399999999999977</v>
      </c>
      <c r="F72" s="92">
        <f t="shared" si="31"/>
        <v>-60.480000000000018</v>
      </c>
      <c r="G72" s="92">
        <f t="shared" si="31"/>
        <v>-72.575999999999965</v>
      </c>
      <c r="H72" s="92">
        <f t="shared" si="31"/>
        <v>-87.091200000000015</v>
      </c>
      <c r="I72" s="92">
        <f t="shared" si="31"/>
        <v>-104.50944000000004</v>
      </c>
    </row>
    <row r="73" spans="1:9" outlineLevel="1" x14ac:dyDescent="0.2">
      <c r="A73" t="s">
        <v>65</v>
      </c>
      <c r="B73" s="193"/>
      <c r="C73" s="91">
        <f t="shared" ref="C73:I73" si="32">C72</f>
        <v>-15</v>
      </c>
      <c r="D73" s="194">
        <f t="shared" si="32"/>
        <v>-50</v>
      </c>
      <c r="E73" s="91">
        <f t="shared" si="32"/>
        <v>-50.399999999999977</v>
      </c>
      <c r="F73" s="91">
        <f t="shared" si="32"/>
        <v>-60.480000000000018</v>
      </c>
      <c r="G73" s="91">
        <f t="shared" si="32"/>
        <v>-72.575999999999965</v>
      </c>
      <c r="H73" s="91">
        <f t="shared" si="32"/>
        <v>-87.091200000000015</v>
      </c>
      <c r="I73" s="91">
        <f t="shared" si="32"/>
        <v>-104.50944000000004</v>
      </c>
    </row>
    <row r="74" spans="1:9" outlineLevel="1" x14ac:dyDescent="0.2">
      <c r="B74" s="193"/>
      <c r="C74" s="91"/>
      <c r="D74" s="194"/>
      <c r="E74" s="91"/>
      <c r="F74" s="91"/>
      <c r="G74" s="91"/>
      <c r="H74" s="91"/>
      <c r="I74" s="91"/>
    </row>
    <row r="75" spans="1:9" outlineLevel="1" x14ac:dyDescent="0.2">
      <c r="A75" t="s">
        <v>167</v>
      </c>
      <c r="B75" s="193"/>
      <c r="C75" s="91">
        <f t="shared" ref="C75:D75" si="33">C50-B50</f>
        <v>65</v>
      </c>
      <c r="D75" s="194">
        <f t="shared" si="33"/>
        <v>35</v>
      </c>
      <c r="E75" s="91">
        <f ca="1">E50-D50</f>
        <v>100.28542201148139</v>
      </c>
      <c r="F75" s="91">
        <f ca="1">F50-E50</f>
        <v>117.65631118849274</v>
      </c>
      <c r="G75" s="91">
        <f ca="1">G50-F50</f>
        <v>138.61342116217395</v>
      </c>
      <c r="H75" s="91">
        <f ca="1">H50-G50</f>
        <v>163.87915586867598</v>
      </c>
      <c r="I75" s="91">
        <f ca="1">I50-H50</f>
        <v>194.32063962245752</v>
      </c>
    </row>
    <row r="76" spans="1:9" outlineLevel="1" x14ac:dyDescent="0.2">
      <c r="A76" s="44" t="s">
        <v>67</v>
      </c>
      <c r="B76" s="195"/>
      <c r="C76" s="92">
        <f t="shared" ref="C76:I76" si="34">C54-B54+C52-B52</f>
        <v>-24</v>
      </c>
      <c r="D76" s="196">
        <f t="shared" si="34"/>
        <v>-24</v>
      </c>
      <c r="E76" s="92">
        <f t="shared" si="34"/>
        <v>-24</v>
      </c>
      <c r="F76" s="92">
        <f t="shared" si="34"/>
        <v>-24</v>
      </c>
      <c r="G76" s="92">
        <f t="shared" si="34"/>
        <v>-24</v>
      </c>
      <c r="H76" s="92">
        <f t="shared" si="34"/>
        <v>-24</v>
      </c>
      <c r="I76" s="92">
        <f t="shared" si="34"/>
        <v>-24</v>
      </c>
    </row>
    <row r="77" spans="1:9" outlineLevel="1" x14ac:dyDescent="0.2">
      <c r="A77" t="s">
        <v>68</v>
      </c>
      <c r="B77" s="193"/>
      <c r="C77" s="91">
        <f t="shared" ref="C77:D77" si="35">C76+C75</f>
        <v>41</v>
      </c>
      <c r="D77" s="194">
        <f t="shared" si="35"/>
        <v>11</v>
      </c>
      <c r="E77" s="91">
        <f ca="1">E76+E75</f>
        <v>76.285422011481387</v>
      </c>
      <c r="F77" s="91">
        <f ca="1">F76+F75</f>
        <v>93.656311188492737</v>
      </c>
      <c r="G77" s="91">
        <f ca="1">G76+G75</f>
        <v>114.61342116217395</v>
      </c>
      <c r="H77" s="91">
        <f ca="1">H76+H75</f>
        <v>139.87915586867598</v>
      </c>
      <c r="I77" s="91">
        <f ca="1">I76+I75</f>
        <v>170.32063962245752</v>
      </c>
    </row>
    <row r="78" spans="1:9" outlineLevel="1" x14ac:dyDescent="0.2">
      <c r="B78" s="193"/>
      <c r="C78" s="91"/>
      <c r="D78" s="194"/>
      <c r="E78" s="91"/>
      <c r="F78" s="91"/>
      <c r="G78" s="91"/>
      <c r="H78" s="91"/>
      <c r="I78" s="91"/>
    </row>
    <row r="79" spans="1:9" outlineLevel="1" x14ac:dyDescent="0.2">
      <c r="A79" t="s">
        <v>69</v>
      </c>
      <c r="B79" s="193"/>
      <c r="C79" s="91">
        <f t="shared" ref="C79:D79" si="36">C77+C73+C70</f>
        <v>8</v>
      </c>
      <c r="D79" s="194">
        <f t="shared" si="36"/>
        <v>-30</v>
      </c>
      <c r="E79" s="91">
        <f ca="1">E77+E73+E70</f>
        <v>4.6000000162228112</v>
      </c>
      <c r="F79" s="91">
        <f ca="1">F77+F73+F70</f>
        <v>5.5200001962350598</v>
      </c>
      <c r="G79" s="91">
        <f ca="1">G77+G73+G70</f>
        <v>6.6240011920263271</v>
      </c>
      <c r="H79" s="91">
        <f ca="1">H77+H73+H70</f>
        <v>7.9488049153337528</v>
      </c>
      <c r="I79" s="91">
        <f ca="1">I77+I73+I70</f>
        <v>9.5385756705648959</v>
      </c>
    </row>
    <row r="80" spans="1:9" outlineLevel="1" x14ac:dyDescent="0.2">
      <c r="A80" s="44" t="s">
        <v>70</v>
      </c>
      <c r="B80" s="195"/>
      <c r="C80" s="92">
        <f t="shared" ref="C80:I80" si="37">B39</f>
        <v>45</v>
      </c>
      <c r="D80" s="196">
        <f t="shared" si="37"/>
        <v>53</v>
      </c>
      <c r="E80" s="92">
        <f t="shared" si="37"/>
        <v>23</v>
      </c>
      <c r="F80" s="92">
        <f t="shared" si="37"/>
        <v>27.6</v>
      </c>
      <c r="G80" s="92">
        <f t="shared" si="37"/>
        <v>33.120000000000005</v>
      </c>
      <c r="H80" s="92">
        <f t="shared" si="37"/>
        <v>39.744</v>
      </c>
      <c r="I80" s="92">
        <f t="shared" si="37"/>
        <v>47.692800000000005</v>
      </c>
    </row>
    <row r="81" spans="1:10" ht="16" outlineLevel="1" thickBot="1" x14ac:dyDescent="0.25">
      <c r="A81" t="s">
        <v>71</v>
      </c>
      <c r="B81" s="197"/>
      <c r="C81" s="132">
        <f t="shared" ref="C81:D81" si="38">C80+C79</f>
        <v>53</v>
      </c>
      <c r="D81" s="198">
        <f t="shared" si="38"/>
        <v>23</v>
      </c>
      <c r="E81" s="91">
        <f ca="1">E80+E79</f>
        <v>27.600000016222811</v>
      </c>
      <c r="F81" s="91">
        <f ca="1">F80+F79</f>
        <v>33.120000196235061</v>
      </c>
      <c r="G81" s="91">
        <f ca="1">G80+G79</f>
        <v>39.744001192026332</v>
      </c>
      <c r="H81" s="91">
        <f ca="1">H80+H79</f>
        <v>47.692804915333753</v>
      </c>
      <c r="I81" s="91">
        <f ca="1">I80+I79</f>
        <v>57.231375670564901</v>
      </c>
    </row>
    <row r="84" spans="1:10" ht="16" thickBot="1" x14ac:dyDescent="0.25"/>
    <row r="85" spans="1:10" ht="16" outlineLevel="1" thickBot="1" x14ac:dyDescent="0.25">
      <c r="A85" s="118"/>
      <c r="B85" s="119">
        <v>2004</v>
      </c>
      <c r="C85" s="120">
        <v>2005</v>
      </c>
      <c r="D85" s="121">
        <v>2006</v>
      </c>
      <c r="E85" s="120">
        <v>2007</v>
      </c>
      <c r="F85" s="120">
        <f>E85+1</f>
        <v>2008</v>
      </c>
      <c r="G85" s="120">
        <f>F85+1</f>
        <v>2009</v>
      </c>
      <c r="H85" s="120">
        <f>G85+1</f>
        <v>2010</v>
      </c>
      <c r="I85" s="121">
        <f>H85+1</f>
        <v>2011</v>
      </c>
    </row>
    <row r="86" spans="1:10" outlineLevel="1" x14ac:dyDescent="0.2">
      <c r="A86" t="s">
        <v>40</v>
      </c>
      <c r="B86" s="17"/>
      <c r="C86" s="91">
        <f>C43-B43</f>
        <v>15</v>
      </c>
      <c r="D86" s="194">
        <f t="shared" ref="D86:I86" si="39">D43-C43</f>
        <v>50</v>
      </c>
      <c r="E86" s="91">
        <f t="shared" si="39"/>
        <v>50.399999999999977</v>
      </c>
      <c r="F86" s="91">
        <f t="shared" si="39"/>
        <v>60.480000000000018</v>
      </c>
      <c r="G86" s="91">
        <f t="shared" si="39"/>
        <v>72.575999999999965</v>
      </c>
      <c r="H86" s="91">
        <f t="shared" si="39"/>
        <v>87.091200000000015</v>
      </c>
      <c r="I86" s="91">
        <f t="shared" si="39"/>
        <v>104.50944000000004</v>
      </c>
    </row>
    <row r="87" spans="1:10" ht="16" outlineLevel="1" thickBot="1" x14ac:dyDescent="0.25">
      <c r="A87" t="s">
        <v>25</v>
      </c>
      <c r="B87" s="18"/>
      <c r="C87" s="26"/>
      <c r="D87" s="198">
        <f>D65</f>
        <v>35</v>
      </c>
      <c r="E87" s="91">
        <f>D87+E86/E20</f>
        <v>38.36</v>
      </c>
      <c r="F87" s="91">
        <f>E87+F86/F20</f>
        <v>42.392000000000003</v>
      </c>
      <c r="G87" s="91">
        <f>F87+G86/G20</f>
        <v>47.230400000000003</v>
      </c>
      <c r="H87" s="91">
        <f>G87+H86/H20</f>
        <v>53.036480000000005</v>
      </c>
      <c r="I87" s="91">
        <f>H87+I86/I20</f>
        <v>60.003776000000009</v>
      </c>
    </row>
    <row r="88" spans="1:10" outlineLevel="1" x14ac:dyDescent="0.2"/>
    <row r="90" spans="1:10" x14ac:dyDescent="0.2">
      <c r="A90" t="s">
        <v>175</v>
      </c>
    </row>
    <row r="91" spans="1:10" x14ac:dyDescent="0.2">
      <c r="A91" t="s">
        <v>33</v>
      </c>
      <c r="B91" s="91">
        <f>B29-B30-B31</f>
        <v>48</v>
      </c>
      <c r="C91" s="91">
        <f t="shared" ref="C91:I91" si="40">C29-C30-C31</f>
        <v>74</v>
      </c>
      <c r="D91" s="91">
        <f t="shared" si="40"/>
        <v>77</v>
      </c>
      <c r="E91" s="91">
        <f t="shared" si="40"/>
        <v>96.03999999999975</v>
      </c>
      <c r="F91" s="91">
        <f t="shared" si="40"/>
        <v>118.88799999999998</v>
      </c>
      <c r="G91" s="91">
        <f t="shared" si="40"/>
        <v>146.30560000000006</v>
      </c>
      <c r="H91" s="91">
        <f t="shared" si="40"/>
        <v>179.20671999999965</v>
      </c>
      <c r="I91" s="91">
        <f t="shared" si="40"/>
        <v>218.68806399999971</v>
      </c>
    </row>
    <row r="92" spans="1:10" x14ac:dyDescent="0.2">
      <c r="A92" t="s">
        <v>176</v>
      </c>
      <c r="B92" s="91">
        <f>B91*(1-(B35/B34))</f>
        <v>32</v>
      </c>
      <c r="C92" s="91">
        <f t="shared" ref="C92:I92" si="41">C91*(1-(C35/C34))</f>
        <v>48.77272727272728</v>
      </c>
      <c r="D92" s="91">
        <f t="shared" si="41"/>
        <v>50.217391304347828</v>
      </c>
      <c r="E92" s="91">
        <f t="shared" ca="1" si="41"/>
        <v>65.378629859158266</v>
      </c>
      <c r="F92" s="91">
        <f t="shared" ca="1" si="41"/>
        <v>78.903405247062693</v>
      </c>
      <c r="G92" s="91">
        <f t="shared" ca="1" si="41"/>
        <v>95.229167483415566</v>
      </c>
      <c r="H92" s="91">
        <f t="shared" ca="1" si="41"/>
        <v>114.88518569457152</v>
      </c>
      <c r="I92" s="91">
        <f t="shared" ca="1" si="41"/>
        <v>138.51736774094408</v>
      </c>
    </row>
    <row r="94" spans="1:10" x14ac:dyDescent="0.2">
      <c r="A94" t="s">
        <v>177</v>
      </c>
      <c r="B94" s="91">
        <f>B40+B41-B49-B51+B43+B44</f>
        <v>494</v>
      </c>
      <c r="C94" s="91">
        <f t="shared" ref="C94:H94" si="42">C40+C41-C49-C51+C43+C44</f>
        <v>556</v>
      </c>
      <c r="D94" s="91">
        <f t="shared" si="42"/>
        <v>627</v>
      </c>
      <c r="E94" s="91">
        <f t="shared" si="42"/>
        <v>740.84000000000015</v>
      </c>
      <c r="F94" s="91">
        <f t="shared" si="42"/>
        <v>881.08800000000019</v>
      </c>
      <c r="G94" s="91">
        <f t="shared" si="42"/>
        <v>1053.0255999999999</v>
      </c>
      <c r="H94" s="91">
        <f t="shared" si="42"/>
        <v>1262.9907199999998</v>
      </c>
      <c r="I94" s="91">
        <f>I40+I41-I49-I51+I43+I44</f>
        <v>1518.5888640000003</v>
      </c>
    </row>
    <row r="96" spans="1:10" x14ac:dyDescent="0.2">
      <c r="A96" t="s">
        <v>178</v>
      </c>
      <c r="B96" s="91">
        <f>B50+B52+B54+B58-B39</f>
        <v>494</v>
      </c>
      <c r="C96" s="91">
        <f t="shared" ref="C96:H96" si="43">C50+C52+C54+C58-C39</f>
        <v>556</v>
      </c>
      <c r="D96" s="91">
        <f t="shared" si="43"/>
        <v>627</v>
      </c>
      <c r="E96" s="91">
        <f t="shared" ca="1" si="43"/>
        <v>740.84000001622292</v>
      </c>
      <c r="F96" s="91">
        <f t="shared" ca="1" si="43"/>
        <v>881.08800021245781</v>
      </c>
      <c r="G96" s="91">
        <f t="shared" ca="1" si="43"/>
        <v>1053.0256014044842</v>
      </c>
      <c r="H96" s="91">
        <f t="shared" ca="1" si="43"/>
        <v>1262.9907263198179</v>
      </c>
      <c r="I96" s="91">
        <f ca="1">I50+I52+I54+I58-I39</f>
        <v>1518.5888859903828</v>
      </c>
      <c r="J96" s="47"/>
    </row>
    <row r="98" spans="1:9" outlineLevel="1" x14ac:dyDescent="0.2">
      <c r="A98" t="s">
        <v>172</v>
      </c>
      <c r="E98" s="141">
        <f ca="1">IF(E34&lt;40,E7*E34,(IF(E34&lt;60,(40*E7+(E34-40)*E8),(40*E7+20*E8+E9*(E34-60)))))</f>
        <v>19.769718669827675</v>
      </c>
      <c r="F98" s="141">
        <f t="shared" ref="F98:I98" ca="1" si="44">IF(F34&lt;40,F7*F34,(IF(F34&lt;60,(40*F7+(F34-40)*F8),(40*F7+20*F8+F9*(F34-60)))))</f>
        <v>26.407792671828155</v>
      </c>
      <c r="G98" s="141">
        <f t="shared" ca="1" si="44"/>
        <v>34.298786686568192</v>
      </c>
      <c r="H98" s="141">
        <f t="shared" ca="1" si="44"/>
        <v>43.689846031105276</v>
      </c>
      <c r="I98" s="141">
        <f t="shared" ca="1" si="44"/>
        <v>54.87738669873827</v>
      </c>
    </row>
    <row r="100" spans="1:9" x14ac:dyDescent="0.2">
      <c r="A100" t="s">
        <v>99</v>
      </c>
      <c r="B100" s="4">
        <f>B92/B96</f>
        <v>6.4777327935222673E-2</v>
      </c>
      <c r="C100" s="4">
        <f t="shared" ref="C100:I100" si="45">C92/C96</f>
        <v>8.7720732504905183E-2</v>
      </c>
      <c r="D100" s="4">
        <f t="shared" si="45"/>
        <v>8.0091533180778038E-2</v>
      </c>
      <c r="E100" s="4">
        <f t="shared" ca="1" si="45"/>
        <v>8.8249324898394529E-2</v>
      </c>
      <c r="F100" s="4">
        <f t="shared" ca="1" si="45"/>
        <v>8.9552241351643219E-2</v>
      </c>
      <c r="G100" s="4">
        <f t="shared" ca="1" si="45"/>
        <v>9.0433857786935704E-2</v>
      </c>
      <c r="H100" s="4">
        <f t="shared" ca="1" si="45"/>
        <v>9.0962810177815975E-2</v>
      </c>
      <c r="I100" s="4">
        <f t="shared" ca="1" si="45"/>
        <v>9.1214527525405126E-2</v>
      </c>
    </row>
    <row r="159" spans="17:22" x14ac:dyDescent="0.2">
      <c r="Q159" s="47" t="s">
        <v>128</v>
      </c>
      <c r="R159" s="47"/>
      <c r="S159" s="4"/>
      <c r="T159" s="49"/>
    </row>
    <row r="160" spans="17:22" x14ac:dyDescent="0.2">
      <c r="Q160" s="207" t="s">
        <v>83</v>
      </c>
      <c r="R160" s="207"/>
      <c r="S160" s="207"/>
      <c r="T160" s="207"/>
      <c r="U160" s="207"/>
      <c r="V160" s="207"/>
    </row>
    <row r="161" spans="13:25" x14ac:dyDescent="0.2">
      <c r="M161" s="206" t="s">
        <v>84</v>
      </c>
      <c r="N161" s="54"/>
      <c r="P161" s="10">
        <f ca="1">I50</f>
        <v>963.75494985328157</v>
      </c>
      <c r="Q161" s="44">
        <v>23</v>
      </c>
      <c r="R161" s="44">
        <v>33</v>
      </c>
      <c r="S161" s="44">
        <v>43</v>
      </c>
      <c r="T161" s="44">
        <v>53</v>
      </c>
      <c r="U161" s="44">
        <v>63</v>
      </c>
      <c r="V161" s="44">
        <v>43</v>
      </c>
      <c r="Y161" t="s">
        <v>95</v>
      </c>
    </row>
    <row r="162" spans="13:25" x14ac:dyDescent="0.2">
      <c r="M162" s="206"/>
      <c r="N162" s="19">
        <v>55</v>
      </c>
      <c r="P162">
        <v>56</v>
      </c>
      <c r="Q162" s="52">
        <f t="dataTable" ref="Q162:V166" dt2D="1" dtr="1" r1="E14" r2="E15" ca="1"/>
        <v>963.75494985328157</v>
      </c>
      <c r="R162" s="52">
        <v>963.75494985328157</v>
      </c>
      <c r="S162" s="52">
        <v>963.75494985328157</v>
      </c>
      <c r="T162" s="52">
        <v>963.75494985328157</v>
      </c>
      <c r="U162" s="52">
        <v>963.75494985328157</v>
      </c>
      <c r="V162" s="52">
        <v>963.75494985328157</v>
      </c>
    </row>
    <row r="163" spans="13:25" x14ac:dyDescent="0.2">
      <c r="M163" s="206"/>
      <c r="N163" s="19">
        <v>60</v>
      </c>
      <c r="P163">
        <v>66</v>
      </c>
      <c r="Q163" s="67">
        <v>963.75494985328157</v>
      </c>
      <c r="R163" s="67">
        <v>963.75494985328157</v>
      </c>
      <c r="S163" s="67">
        <v>963.75494985328157</v>
      </c>
      <c r="T163" s="67">
        <v>963.75494985328157</v>
      </c>
      <c r="U163" s="67">
        <v>963.75494985328157</v>
      </c>
      <c r="V163" s="67">
        <v>963.75494985328157</v>
      </c>
    </row>
    <row r="164" spans="13:25" x14ac:dyDescent="0.2">
      <c r="M164" s="206"/>
      <c r="N164" s="19">
        <v>65</v>
      </c>
      <c r="P164">
        <v>76</v>
      </c>
      <c r="Q164" s="52">
        <v>963.75494985328157</v>
      </c>
      <c r="R164" s="52">
        <v>963.75494985328157</v>
      </c>
      <c r="S164" s="52">
        <v>963.75494985328157</v>
      </c>
      <c r="T164" s="52">
        <v>963.75494985328157</v>
      </c>
      <c r="U164" s="52">
        <v>963.75494985328157</v>
      </c>
      <c r="V164" s="52">
        <v>963.75494985328157</v>
      </c>
    </row>
    <row r="165" spans="13:25" x14ac:dyDescent="0.2">
      <c r="M165" s="206"/>
      <c r="N165" s="77">
        <v>70</v>
      </c>
      <c r="P165">
        <v>86</v>
      </c>
      <c r="Q165" s="52">
        <v>963.75494985328157</v>
      </c>
      <c r="R165" s="52">
        <v>963.75494985328157</v>
      </c>
      <c r="S165" s="52">
        <v>963.75494985328157</v>
      </c>
      <c r="T165" s="52">
        <v>963.75494985328157</v>
      </c>
      <c r="U165" s="52">
        <v>963.75494985328157</v>
      </c>
      <c r="V165" s="52">
        <v>963.75494985328157</v>
      </c>
    </row>
    <row r="166" spans="13:25" x14ac:dyDescent="0.2">
      <c r="M166" s="206"/>
      <c r="N166" s="19">
        <v>76</v>
      </c>
      <c r="P166">
        <v>96</v>
      </c>
      <c r="Q166" s="67">
        <v>963.75494985328157</v>
      </c>
      <c r="R166" s="67">
        <v>963.75494985328157</v>
      </c>
      <c r="S166" s="67">
        <v>963.75494985328157</v>
      </c>
      <c r="T166" s="67">
        <v>963.75494985328157</v>
      </c>
      <c r="U166" s="67">
        <v>963.75494985328157</v>
      </c>
      <c r="V166" s="67">
        <v>963.75494985328157</v>
      </c>
    </row>
    <row r="169" spans="13:25" x14ac:dyDescent="0.2">
      <c r="Q169" s="207" t="s">
        <v>85</v>
      </c>
      <c r="R169" s="207"/>
      <c r="S169" s="207"/>
      <c r="T169" s="207"/>
    </row>
    <row r="170" spans="13:25" x14ac:dyDescent="0.2">
      <c r="Q170" s="207" t="s">
        <v>88</v>
      </c>
      <c r="R170" s="207"/>
      <c r="S170" s="207"/>
      <c r="T170" s="207"/>
    </row>
    <row r="171" spans="13:25" x14ac:dyDescent="0.2">
      <c r="P171" s="10">
        <f ca="1">I50</f>
        <v>963.75494985328157</v>
      </c>
      <c r="Q171" s="80">
        <v>0.05</v>
      </c>
      <c r="R171" s="81">
        <v>0.1</v>
      </c>
      <c r="S171" s="81">
        <v>0.15</v>
      </c>
      <c r="T171" s="81">
        <v>0.2</v>
      </c>
    </row>
    <row r="172" spans="13:25" ht="20.25" customHeight="1" x14ac:dyDescent="0.2">
      <c r="M172" s="206" t="s">
        <v>89</v>
      </c>
      <c r="N172" s="78">
        <v>10</v>
      </c>
      <c r="O172" s="54"/>
      <c r="P172">
        <v>10</v>
      </c>
      <c r="Q172" s="52">
        <f t="dataTable" ref="Q172:T175" dt2D="1" dtr="1" r1="E4" r2="E18" ca="1"/>
        <v>963.75494985328157</v>
      </c>
      <c r="R172" s="52">
        <v>963.75494985328157</v>
      </c>
      <c r="S172" s="52">
        <v>963.75494985328157</v>
      </c>
      <c r="T172" s="52">
        <v>963.75494985328157</v>
      </c>
    </row>
    <row r="173" spans="13:25" ht="20.25" customHeight="1" x14ac:dyDescent="0.2">
      <c r="M173" s="206"/>
      <c r="N173" s="78">
        <v>24</v>
      </c>
      <c r="O173" s="54"/>
      <c r="P173">
        <v>24</v>
      </c>
      <c r="Q173" s="52">
        <v>963.75494985328157</v>
      </c>
      <c r="R173" s="52">
        <v>963.75494985328157</v>
      </c>
      <c r="S173" s="52">
        <v>963.75494985328157</v>
      </c>
      <c r="T173" s="52">
        <v>963.75494985328157</v>
      </c>
    </row>
    <row r="174" spans="13:25" x14ac:dyDescent="0.2">
      <c r="M174" s="75"/>
      <c r="N174" s="76">
        <v>45</v>
      </c>
      <c r="O174" s="54"/>
      <c r="P174">
        <v>45</v>
      </c>
      <c r="Q174" s="52">
        <v>963.75494985328157</v>
      </c>
      <c r="R174" s="52">
        <v>963.75494985328157</v>
      </c>
      <c r="S174" s="52">
        <v>963.75494985328157</v>
      </c>
      <c r="T174" s="52">
        <v>963.75494985328157</v>
      </c>
    </row>
    <row r="175" spans="13:25" x14ac:dyDescent="0.2">
      <c r="M175" s="75"/>
      <c r="N175" s="76">
        <v>60</v>
      </c>
      <c r="O175" s="54"/>
      <c r="P175">
        <v>25</v>
      </c>
      <c r="Q175" s="52">
        <v>963.75494985328157</v>
      </c>
      <c r="R175" s="52">
        <v>963.75494985328157</v>
      </c>
      <c r="S175" s="52">
        <v>963.75494985328157</v>
      </c>
      <c r="T175" s="52">
        <v>963.75494985328157</v>
      </c>
    </row>
    <row r="177" spans="13:20" x14ac:dyDescent="0.2">
      <c r="Q177" s="207" t="s">
        <v>86</v>
      </c>
      <c r="R177" s="207"/>
      <c r="S177" s="207"/>
      <c r="T177" s="207"/>
    </row>
    <row r="178" spans="13:20" x14ac:dyDescent="0.2">
      <c r="Q178" s="207" t="s">
        <v>88</v>
      </c>
      <c r="R178" s="207"/>
      <c r="S178" s="207"/>
      <c r="T178" s="207"/>
    </row>
    <row r="179" spans="13:20" ht="12.75" customHeight="1" x14ac:dyDescent="0.2">
      <c r="P179" s="10">
        <f ca="1">E36</f>
        <v>42.154578004741516</v>
      </c>
      <c r="Q179" s="79">
        <v>0.05</v>
      </c>
      <c r="R179" s="79">
        <v>0.1</v>
      </c>
      <c r="S179" s="79">
        <v>0.15</v>
      </c>
      <c r="T179" s="79">
        <v>0.2</v>
      </c>
    </row>
    <row r="180" spans="13:20" ht="18.75" customHeight="1" x14ac:dyDescent="0.2">
      <c r="M180" s="206" t="s">
        <v>89</v>
      </c>
      <c r="N180" s="78">
        <v>10</v>
      </c>
      <c r="O180" s="54"/>
      <c r="P180">
        <v>10</v>
      </c>
      <c r="Q180" s="68">
        <f t="dataTable" ref="Q180:T183" dt2D="1" dtr="1" r1="E4" r2="E18" ca="1"/>
        <v>42.154578004741516</v>
      </c>
      <c r="R180" s="68">
        <v>42.154578004741516</v>
      </c>
      <c r="S180" s="68">
        <v>42.154578004741516</v>
      </c>
      <c r="T180" s="68">
        <v>42.154578004741516</v>
      </c>
    </row>
    <row r="181" spans="13:20" ht="18.75" customHeight="1" x14ac:dyDescent="0.2">
      <c r="M181" s="206"/>
      <c r="N181" s="78">
        <v>24</v>
      </c>
      <c r="O181" s="54"/>
      <c r="P181">
        <v>24</v>
      </c>
      <c r="Q181" s="55">
        <v>42.154578004741516</v>
      </c>
      <c r="R181" s="55">
        <v>42.154578004741516</v>
      </c>
      <c r="S181" s="55">
        <v>42.154578004741516</v>
      </c>
      <c r="T181" s="55">
        <v>42.154578004741516</v>
      </c>
    </row>
    <row r="182" spans="13:20" x14ac:dyDescent="0.2">
      <c r="M182" s="54"/>
      <c r="N182" s="76">
        <v>45</v>
      </c>
      <c r="O182" s="54"/>
      <c r="P182">
        <v>45</v>
      </c>
      <c r="Q182" s="68">
        <v>42.154578004741516</v>
      </c>
      <c r="R182" s="68">
        <v>42.154578004741516</v>
      </c>
      <c r="S182" s="68">
        <v>42.154578004741516</v>
      </c>
      <c r="T182" s="68">
        <v>42.154578004741516</v>
      </c>
    </row>
    <row r="183" spans="13:20" x14ac:dyDescent="0.2">
      <c r="M183" s="54"/>
      <c r="N183" s="76">
        <v>60</v>
      </c>
      <c r="O183" s="54"/>
      <c r="P183">
        <v>60</v>
      </c>
      <c r="Q183" s="55">
        <v>42.154578004741516</v>
      </c>
      <c r="R183" s="55">
        <v>42.154578004741516</v>
      </c>
      <c r="S183" s="55">
        <v>42.154578004741516</v>
      </c>
      <c r="T183" s="55">
        <v>42.154578004741516</v>
      </c>
    </row>
    <row r="185" spans="13:20" x14ac:dyDescent="0.2">
      <c r="Q185" s="207" t="s">
        <v>87</v>
      </c>
      <c r="R185" s="207"/>
      <c r="S185" s="207"/>
      <c r="T185" s="207"/>
    </row>
    <row r="186" spans="13:20" x14ac:dyDescent="0.2">
      <c r="Q186" s="207" t="s">
        <v>88</v>
      </c>
      <c r="R186" s="207"/>
      <c r="S186" s="207"/>
      <c r="T186" s="207"/>
    </row>
    <row r="187" spans="13:20" x14ac:dyDescent="0.2">
      <c r="P187" s="10">
        <f ca="1">E50</f>
        <v>349.28542201148139</v>
      </c>
      <c r="Q187" s="79">
        <v>0.05</v>
      </c>
      <c r="R187" s="79">
        <v>0.1</v>
      </c>
      <c r="S187" s="79">
        <v>0.15</v>
      </c>
      <c r="T187" s="79">
        <v>0.2</v>
      </c>
    </row>
    <row r="188" spans="13:20" ht="15" customHeight="1" x14ac:dyDescent="0.2">
      <c r="M188" s="206" t="s">
        <v>89</v>
      </c>
      <c r="N188" s="78">
        <v>10</v>
      </c>
      <c r="O188" s="54"/>
      <c r="P188">
        <v>10</v>
      </c>
      <c r="Q188" s="52">
        <f t="dataTable" ref="Q188:T191" dt2D="1" dtr="1" r1="E4" r2="E18" ca="1"/>
        <v>349.28542201148139</v>
      </c>
      <c r="R188" s="52">
        <v>349.28542201148139</v>
      </c>
      <c r="S188" s="52">
        <v>349.28542201148139</v>
      </c>
      <c r="T188" s="52">
        <v>349.28542201148139</v>
      </c>
    </row>
    <row r="189" spans="13:20" x14ac:dyDescent="0.2">
      <c r="M189" s="206"/>
      <c r="N189" s="78">
        <v>24</v>
      </c>
      <c r="O189" s="54"/>
      <c r="P189">
        <v>24</v>
      </c>
      <c r="Q189" s="52">
        <v>349.28542201148139</v>
      </c>
      <c r="R189" s="52">
        <v>349.28542201148139</v>
      </c>
      <c r="S189" s="52">
        <v>349.28542201148139</v>
      </c>
      <c r="T189" s="52">
        <v>349.28542201148139</v>
      </c>
    </row>
    <row r="190" spans="13:20" x14ac:dyDescent="0.2">
      <c r="M190" s="206"/>
      <c r="N190" s="78">
        <v>45</v>
      </c>
      <c r="O190" s="54"/>
      <c r="P190">
        <v>45</v>
      </c>
      <c r="Q190" s="52">
        <v>349.28542201148139</v>
      </c>
      <c r="R190" s="52">
        <v>349.28542201148139</v>
      </c>
      <c r="S190" s="52">
        <v>349.28542201148139</v>
      </c>
      <c r="T190" s="52">
        <v>349.28542201148139</v>
      </c>
    </row>
    <row r="191" spans="13:20" x14ac:dyDescent="0.2">
      <c r="M191" s="206"/>
      <c r="N191" s="78">
        <v>60</v>
      </c>
      <c r="O191" s="54"/>
      <c r="P191">
        <v>60</v>
      </c>
      <c r="Q191" s="52">
        <v>349.28542201148139</v>
      </c>
      <c r="R191" s="52">
        <v>349.28542201148139</v>
      </c>
      <c r="S191" s="52">
        <v>349.28542201148139</v>
      </c>
      <c r="T191" s="52">
        <v>349.28542201148139</v>
      </c>
    </row>
  </sheetData>
  <scenarios current="0" show="2" sqref="I50">
    <scenario name="Base" locked="1" count="3" user="John W Molloy" comment="Created by John W Molloy on 9/24/2017_x000a_Modified by John W Molloy on 9/18/2018">
      <inputCells r="E5" val="0.8109" numFmtId="10"/>
      <inputCells r="E14" val="43" numFmtId="43"/>
      <inputCells r="E15" val="76" numFmtId="43"/>
    </scenario>
    <scenario name="Best" locked="1" count="3" user="John W Molloy" comment="Created by John W Molloy on 9/24/2017">
      <inputCells r="E14" val="28" numFmtId="43"/>
      <inputCells r="E5" val="0.75" numFmtId="10"/>
      <inputCells r="E15" val="51" numFmtId="43"/>
    </scenario>
    <scenario name="Worst" locked="1" count="3" user="John W Molloy" comment="Created by John W Molloy on 9/24/2017_x000a_Modified by John W Molloy on 9/18/2018">
      <inputCells r="E5" val="0.85" numFmtId="10"/>
      <inputCells r="E14" val="68" numFmtId="43"/>
      <inputCells r="E15" val="101" numFmtId="43"/>
    </scenario>
  </scenarios>
  <mergeCells count="28">
    <mergeCell ref="M161:M166"/>
    <mergeCell ref="Q160:V160"/>
    <mergeCell ref="M188:M191"/>
    <mergeCell ref="M172:M173"/>
    <mergeCell ref="Q169:T169"/>
    <mergeCell ref="Q177:T177"/>
    <mergeCell ref="Q185:T185"/>
    <mergeCell ref="M180:M181"/>
    <mergeCell ref="Q186:T186"/>
    <mergeCell ref="Q170:T170"/>
    <mergeCell ref="Q178:T178"/>
    <mergeCell ref="A1:I1"/>
    <mergeCell ref="A22:I22"/>
    <mergeCell ref="P30:S30"/>
    <mergeCell ref="B2:D2"/>
    <mergeCell ref="E2:I2"/>
    <mergeCell ref="P36:S36"/>
    <mergeCell ref="P42:S42"/>
    <mergeCell ref="P37:S37"/>
    <mergeCell ref="P38:S38"/>
    <mergeCell ref="P31:S31"/>
    <mergeCell ref="P32:S32"/>
    <mergeCell ref="P33:S33"/>
    <mergeCell ref="P34:S34"/>
    <mergeCell ref="P35:S35"/>
    <mergeCell ref="P39:S39"/>
    <mergeCell ref="P40:S40"/>
    <mergeCell ref="P41:S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="150" zoomScaleNormal="150" workbookViewId="0">
      <selection activeCell="B17" sqref="B17"/>
    </sheetView>
  </sheetViews>
  <sheetFormatPr baseColWidth="10" defaultColWidth="8.83203125" defaultRowHeight="15" x14ac:dyDescent="0.2"/>
  <cols>
    <col min="1" max="1" width="43.6640625" bestFit="1" customWidth="1"/>
  </cols>
  <sheetData>
    <row r="1" spans="1:2" ht="16" thickBot="1" x14ac:dyDescent="0.25"/>
    <row r="2" spans="1:2" x14ac:dyDescent="0.2">
      <c r="A2" s="16" t="s">
        <v>22</v>
      </c>
      <c r="B2" t="s">
        <v>122</v>
      </c>
    </row>
    <row r="3" spans="1:2" x14ac:dyDescent="0.2">
      <c r="A3" s="17" t="s">
        <v>92</v>
      </c>
      <c r="B3" t="s">
        <v>123</v>
      </c>
    </row>
    <row r="4" spans="1:2" x14ac:dyDescent="0.2">
      <c r="A4" s="17" t="s">
        <v>23</v>
      </c>
    </row>
    <row r="5" spans="1:2" x14ac:dyDescent="0.2">
      <c r="A5" s="17" t="s">
        <v>118</v>
      </c>
    </row>
    <row r="6" spans="1:2" x14ac:dyDescent="0.2">
      <c r="A6" s="17" t="s">
        <v>117</v>
      </c>
    </row>
    <row r="7" spans="1:2" x14ac:dyDescent="0.2">
      <c r="A7" s="17" t="s">
        <v>119</v>
      </c>
    </row>
    <row r="8" spans="1:2" x14ac:dyDescent="0.2">
      <c r="A8" s="17" t="s">
        <v>31</v>
      </c>
    </row>
    <row r="9" spans="1:2" x14ac:dyDescent="0.2">
      <c r="A9" s="17" t="s">
        <v>32</v>
      </c>
      <c r="B9" t="s">
        <v>124</v>
      </c>
    </row>
    <row r="10" spans="1:2" x14ac:dyDescent="0.2">
      <c r="A10" s="17" t="s">
        <v>94</v>
      </c>
    </row>
    <row r="11" spans="1:2" x14ac:dyDescent="0.2">
      <c r="A11" s="17" t="s">
        <v>6</v>
      </c>
    </row>
    <row r="12" spans="1:2" x14ac:dyDescent="0.2">
      <c r="A12" s="17" t="s">
        <v>24</v>
      </c>
      <c r="B12" t="s">
        <v>125</v>
      </c>
    </row>
    <row r="13" spans="1:2" x14ac:dyDescent="0.2">
      <c r="A13" s="17" t="s">
        <v>91</v>
      </c>
      <c r="B13" t="s">
        <v>125</v>
      </c>
    </row>
    <row r="14" spans="1:2" x14ac:dyDescent="0.2">
      <c r="A14" s="17" t="s">
        <v>26</v>
      </c>
      <c r="B14" t="s">
        <v>126</v>
      </c>
    </row>
    <row r="15" spans="1:2" x14ac:dyDescent="0.2">
      <c r="A15" s="17" t="s">
        <v>27</v>
      </c>
    </row>
    <row r="16" spans="1:2" x14ac:dyDescent="0.2">
      <c r="A16" s="17" t="s">
        <v>28</v>
      </c>
    </row>
    <row r="17" spans="1:2" ht="16" thickBot="1" x14ac:dyDescent="0.25">
      <c r="A17" s="18" t="s">
        <v>97</v>
      </c>
      <c r="B17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4"/>
  <sheetViews>
    <sheetView zoomScale="160" zoomScaleNormal="160" workbookViewId="0">
      <selection activeCell="B5" sqref="B5"/>
    </sheetView>
  </sheetViews>
  <sheetFormatPr baseColWidth="10" defaultColWidth="8.83203125" defaultRowHeight="15" x14ac:dyDescent="0.2"/>
  <sheetData>
    <row r="2" spans="1:2" x14ac:dyDescent="0.2">
      <c r="A2" t="s">
        <v>105</v>
      </c>
      <c r="B2" t="s">
        <v>106</v>
      </c>
    </row>
    <row r="3" spans="1:2" x14ac:dyDescent="0.2">
      <c r="A3" t="s">
        <v>107</v>
      </c>
      <c r="B3" t="s">
        <v>108</v>
      </c>
    </row>
    <row r="4" spans="1:2" x14ac:dyDescent="0.2">
      <c r="A4" t="s">
        <v>109</v>
      </c>
      <c r="B4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="250" zoomScaleNormal="250" workbookViewId="0">
      <selection activeCell="B4" sqref="B4:C4"/>
    </sheetView>
  </sheetViews>
  <sheetFormatPr baseColWidth="10" defaultColWidth="8.83203125" defaultRowHeight="15" x14ac:dyDescent="0.2"/>
  <cols>
    <col min="1" max="1" width="8.83203125" bestFit="1" customWidth="1"/>
    <col min="2" max="3" width="10.5" bestFit="1" customWidth="1"/>
    <col min="4" max="4" width="9.33203125" bestFit="1" customWidth="1"/>
  </cols>
  <sheetData>
    <row r="1" spans="1:4" x14ac:dyDescent="0.2">
      <c r="B1" t="s">
        <v>112</v>
      </c>
      <c r="C1" t="s">
        <v>113</v>
      </c>
      <c r="D1" t="s">
        <v>114</v>
      </c>
    </row>
    <row r="2" spans="1:4" x14ac:dyDescent="0.2">
      <c r="A2" t="s">
        <v>90</v>
      </c>
      <c r="B2" s="98">
        <v>997</v>
      </c>
      <c r="C2" s="98">
        <v>975</v>
      </c>
      <c r="D2" s="47">
        <f>C2/B2-1</f>
        <v>-2.2066198595787401E-2</v>
      </c>
    </row>
    <row r="3" spans="1:4" x14ac:dyDescent="0.2">
      <c r="B3" s="157"/>
      <c r="C3" s="157"/>
    </row>
    <row r="4" spans="1:4" x14ac:dyDescent="0.2">
      <c r="A4" t="s">
        <v>111</v>
      </c>
      <c r="B4" s="113">
        <v>87</v>
      </c>
      <c r="C4" s="113">
        <v>142</v>
      </c>
      <c r="D4" s="47">
        <f>C4/B4-1</f>
        <v>0.63218390804597702</v>
      </c>
    </row>
    <row r="6" spans="1:4" x14ac:dyDescent="0.2">
      <c r="A6" s="170"/>
      <c r="B6" s="170"/>
      <c r="C6" s="170"/>
      <c r="D6" s="170"/>
    </row>
    <row r="7" spans="1:4" x14ac:dyDescent="0.2">
      <c r="A7" s="170"/>
      <c r="B7" s="171"/>
      <c r="C7" s="171"/>
      <c r="D7" s="172"/>
    </row>
    <row r="8" spans="1:4" hidden="1" x14ac:dyDescent="0.2">
      <c r="A8" s="170"/>
      <c r="B8" s="173"/>
      <c r="C8" s="173"/>
      <c r="D8" s="170"/>
    </row>
    <row r="9" spans="1:4" x14ac:dyDescent="0.2">
      <c r="A9" s="170"/>
      <c r="B9" s="174"/>
      <c r="C9" s="174"/>
      <c r="D9" s="17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6"/>
  <sheetViews>
    <sheetView topLeftCell="A7" zoomScale="150" zoomScaleNormal="150" workbookViewId="0">
      <selection activeCell="L17" sqref="L17"/>
    </sheetView>
  </sheetViews>
  <sheetFormatPr baseColWidth="10" defaultColWidth="8.83203125" defaultRowHeight="15" x14ac:dyDescent="0.2"/>
  <sheetData>
    <row r="3" spans="1:6" x14ac:dyDescent="0.2">
      <c r="B3" s="207" t="s">
        <v>104</v>
      </c>
      <c r="C3" s="207"/>
      <c r="D3" s="207"/>
      <c r="E3" s="207"/>
      <c r="F3" s="207"/>
    </row>
    <row r="4" spans="1:6" x14ac:dyDescent="0.2">
      <c r="B4">
        <v>2007</v>
      </c>
      <c r="C4">
        <v>2008</v>
      </c>
      <c r="D4">
        <v>2009</v>
      </c>
      <c r="E4">
        <v>2010</v>
      </c>
      <c r="F4">
        <v>2011</v>
      </c>
    </row>
    <row r="5" spans="1:6" x14ac:dyDescent="0.2">
      <c r="A5" t="s">
        <v>115</v>
      </c>
      <c r="B5" s="97">
        <v>349.7894357826159</v>
      </c>
      <c r="C5" s="98">
        <v>467.94492553515789</v>
      </c>
      <c r="D5" s="98">
        <v>607.44850530456802</v>
      </c>
      <c r="E5" s="98">
        <v>772.70039890794226</v>
      </c>
      <c r="F5" s="99">
        <v>968.98689133078619</v>
      </c>
    </row>
    <row r="6" spans="1:6" x14ac:dyDescent="0.2">
      <c r="A6" t="s">
        <v>116</v>
      </c>
      <c r="B6" s="97">
        <v>405.43312502506774</v>
      </c>
      <c r="C6" s="98">
        <v>510.49660754605122</v>
      </c>
      <c r="D6" s="98">
        <v>633.17475707443646</v>
      </c>
      <c r="E6" s="98">
        <v>777.06978179905775</v>
      </c>
      <c r="F6" s="99">
        <v>946.50798475717625</v>
      </c>
    </row>
  </sheetData>
  <mergeCells count="1">
    <mergeCell ref="B3: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J20"/>
  <sheetViews>
    <sheetView topLeftCell="A2" zoomScale="140" zoomScaleNormal="140" workbookViewId="0">
      <selection activeCell="N11" sqref="N11"/>
    </sheetView>
  </sheetViews>
  <sheetFormatPr baseColWidth="10" defaultColWidth="8.83203125" defaultRowHeight="15" x14ac:dyDescent="0.2"/>
  <cols>
    <col min="1" max="1" width="3.6640625" bestFit="1" customWidth="1"/>
    <col min="2" max="2" width="3" bestFit="1" customWidth="1"/>
    <col min="3" max="4" width="9.1640625" hidden="1" customWidth="1"/>
    <col min="10" max="10" width="0" hidden="1" customWidth="1"/>
  </cols>
  <sheetData>
    <row r="3" spans="1:10" x14ac:dyDescent="0.2">
      <c r="A3" t="s">
        <v>131</v>
      </c>
      <c r="E3" s="208" t="s">
        <v>129</v>
      </c>
      <c r="F3" s="208"/>
      <c r="G3" s="208"/>
      <c r="H3" s="208"/>
      <c r="I3" s="208"/>
      <c r="J3" s="208"/>
    </row>
    <row r="4" spans="1:10" x14ac:dyDescent="0.2">
      <c r="E4" s="207" t="s">
        <v>83</v>
      </c>
      <c r="F4" s="207"/>
      <c r="G4" s="207"/>
      <c r="H4" s="207"/>
      <c r="I4" s="207"/>
      <c r="J4" s="207"/>
    </row>
    <row r="5" spans="1:10" x14ac:dyDescent="0.2">
      <c r="A5" s="206" t="s">
        <v>84</v>
      </c>
      <c r="B5" s="54"/>
      <c r="D5" s="10">
        <v>968.98682801658788</v>
      </c>
      <c r="E5" s="44">
        <v>23</v>
      </c>
      <c r="F5" s="44">
        <v>33</v>
      </c>
      <c r="G5" s="44">
        <v>43</v>
      </c>
      <c r="H5" s="44">
        <v>53</v>
      </c>
      <c r="I5" s="44">
        <v>63</v>
      </c>
      <c r="J5" s="44">
        <v>43</v>
      </c>
    </row>
    <row r="6" spans="1:10" x14ac:dyDescent="0.2">
      <c r="A6" s="206"/>
      <c r="B6" s="19">
        <v>55</v>
      </c>
      <c r="D6">
        <v>56</v>
      </c>
      <c r="E6" s="52">
        <v>331.11152637731141</v>
      </c>
      <c r="F6" s="52">
        <v>507.23259514707456</v>
      </c>
      <c r="G6" s="52">
        <v>683.35367966360786</v>
      </c>
      <c r="H6" s="52">
        <v>859.47476418014196</v>
      </c>
      <c r="I6" s="52">
        <v>1035.5958486966761</v>
      </c>
      <c r="J6" s="52">
        <v>683.35372111116374</v>
      </c>
    </row>
    <row r="7" spans="1:10" x14ac:dyDescent="0.2">
      <c r="A7" s="206"/>
      <c r="B7" s="19">
        <v>60</v>
      </c>
      <c r="D7">
        <v>66</v>
      </c>
      <c r="E7" s="67">
        <v>473.92812830928096</v>
      </c>
      <c r="F7" s="67">
        <v>650.0491825815327</v>
      </c>
      <c r="G7" s="67">
        <v>826.17026709806532</v>
      </c>
      <c r="H7" s="67">
        <v>1002.2913516145994</v>
      </c>
      <c r="I7" s="67">
        <v>1178.5093468122091</v>
      </c>
      <c r="J7" s="67">
        <v>826.17030887010856</v>
      </c>
    </row>
    <row r="8" spans="1:10" x14ac:dyDescent="0.2">
      <c r="A8" s="206"/>
      <c r="B8" s="19">
        <v>65</v>
      </c>
      <c r="D8">
        <v>76</v>
      </c>
      <c r="E8" s="52">
        <v>616.74471574373854</v>
      </c>
      <c r="F8" s="52">
        <v>792.86577001599028</v>
      </c>
      <c r="G8" s="52">
        <v>968.98685453252278</v>
      </c>
      <c r="H8" s="52">
        <v>1145.1720400677343</v>
      </c>
      <c r="I8" s="52">
        <v>1321.4666291084518</v>
      </c>
      <c r="J8" s="52">
        <v>968.9868967756538</v>
      </c>
    </row>
    <row r="9" spans="1:10" x14ac:dyDescent="0.2">
      <c r="A9" s="206"/>
      <c r="B9" s="77">
        <v>70</v>
      </c>
      <c r="D9">
        <v>86</v>
      </c>
      <c r="E9" s="52">
        <v>759.56130317819589</v>
      </c>
      <c r="F9" s="52">
        <v>935.68235745044774</v>
      </c>
      <c r="G9" s="52">
        <v>1111.8347333232591</v>
      </c>
      <c r="H9" s="52">
        <v>1288.1293222472505</v>
      </c>
      <c r="I9" s="52">
        <v>1464.4239116771896</v>
      </c>
      <c r="J9" s="52">
        <v>1111.834777392698</v>
      </c>
    </row>
    <row r="10" spans="1:10" x14ac:dyDescent="0.2">
      <c r="A10" s="206"/>
      <c r="B10" s="19">
        <v>76</v>
      </c>
      <c r="D10">
        <v>96</v>
      </c>
      <c r="E10" s="67">
        <v>902.37789071742759</v>
      </c>
      <c r="F10" s="67">
        <v>1078.4989448849051</v>
      </c>
      <c r="G10" s="67">
        <v>1254.7920153914488</v>
      </c>
      <c r="H10" s="67">
        <v>1431.0866048159876</v>
      </c>
      <c r="I10" s="67">
        <v>1607.6189502413183</v>
      </c>
      <c r="J10" s="67">
        <v>1254.7920602422005</v>
      </c>
    </row>
    <row r="12" spans="1:10" x14ac:dyDescent="0.2">
      <c r="A12" t="s">
        <v>130</v>
      </c>
      <c r="E12" s="208" t="s">
        <v>128</v>
      </c>
      <c r="F12" s="208"/>
      <c r="G12" s="208"/>
      <c r="H12" s="208"/>
      <c r="I12" s="208"/>
      <c r="J12" s="208"/>
    </row>
    <row r="13" spans="1:10" x14ac:dyDescent="0.2">
      <c r="E13" s="207" t="s">
        <v>83</v>
      </c>
      <c r="F13" s="207"/>
      <c r="G13" s="207"/>
      <c r="H13" s="207"/>
      <c r="I13" s="207"/>
      <c r="J13" s="207"/>
    </row>
    <row r="14" spans="1:10" ht="15" customHeight="1" x14ac:dyDescent="0.2">
      <c r="A14" s="206" t="s">
        <v>84</v>
      </c>
      <c r="B14" s="54"/>
      <c r="D14" s="10" t="e">
        <f>#REF!</f>
        <v>#REF!</v>
      </c>
      <c r="E14" s="44">
        <v>23</v>
      </c>
      <c r="F14" s="44">
        <v>33</v>
      </c>
      <c r="G14" s="44">
        <v>43</v>
      </c>
      <c r="H14" s="44">
        <v>53</v>
      </c>
      <c r="I14" s="44">
        <v>63</v>
      </c>
      <c r="J14" s="44">
        <v>43</v>
      </c>
    </row>
    <row r="15" spans="1:10" x14ac:dyDescent="0.2">
      <c r="A15" s="206"/>
      <c r="B15">
        <v>56</v>
      </c>
      <c r="D15">
        <v>56</v>
      </c>
      <c r="E15" s="52">
        <v>314.34528430778005</v>
      </c>
      <c r="F15" s="52">
        <v>490.46635309483599</v>
      </c>
      <c r="G15" s="52">
        <v>666.58743761136952</v>
      </c>
      <c r="H15" s="52">
        <v>842.70852212790328</v>
      </c>
      <c r="I15" s="52">
        <v>1018.8296066444373</v>
      </c>
      <c r="J15" s="52">
        <v>666.58747905892528</v>
      </c>
    </row>
    <row r="16" spans="1:10" x14ac:dyDescent="0.2">
      <c r="A16" s="206"/>
      <c r="B16">
        <v>66</v>
      </c>
      <c r="D16">
        <v>66</v>
      </c>
      <c r="E16" s="67">
        <v>454.30555473241861</v>
      </c>
      <c r="F16" s="67">
        <v>630.42660878060497</v>
      </c>
      <c r="G16" s="67">
        <v>806.54769329713758</v>
      </c>
      <c r="H16" s="67">
        <v>982.6687778136718</v>
      </c>
      <c r="I16" s="67">
        <v>1158.7898623302056</v>
      </c>
      <c r="J16" s="67">
        <v>806.54773474469346</v>
      </c>
    </row>
    <row r="17" spans="1:10" x14ac:dyDescent="0.2">
      <c r="A17" s="206"/>
      <c r="B17">
        <v>76</v>
      </c>
      <c r="D17">
        <v>76</v>
      </c>
      <c r="E17" s="52">
        <v>594.26581041818713</v>
      </c>
      <c r="F17" s="52">
        <v>770.38686446637348</v>
      </c>
      <c r="G17" s="52">
        <v>946.50794898290576</v>
      </c>
      <c r="H17" s="52">
        <v>1122.6290334994401</v>
      </c>
      <c r="I17" s="52">
        <v>1298.7501180159736</v>
      </c>
      <c r="J17" s="52">
        <v>946.50799043046163</v>
      </c>
    </row>
    <row r="18" spans="1:10" x14ac:dyDescent="0.2">
      <c r="A18" s="206"/>
      <c r="B18">
        <v>86</v>
      </c>
      <c r="D18">
        <v>86</v>
      </c>
      <c r="E18" s="52">
        <v>734.22606610395519</v>
      </c>
      <c r="F18" s="52">
        <v>910.34712015214177</v>
      </c>
      <c r="G18" s="52">
        <v>1086.4682046686742</v>
      </c>
      <c r="H18" s="52">
        <v>1262.5892891852084</v>
      </c>
      <c r="I18" s="52">
        <v>1438.7103737017417</v>
      </c>
      <c r="J18" s="52">
        <v>1086.4682461162299</v>
      </c>
    </row>
    <row r="19" spans="1:10" x14ac:dyDescent="0.2">
      <c r="A19" s="206"/>
      <c r="B19">
        <v>96</v>
      </c>
      <c r="D19">
        <v>96</v>
      </c>
      <c r="E19" s="67">
        <v>874.18632178972359</v>
      </c>
      <c r="F19" s="67">
        <v>1050.3073758379098</v>
      </c>
      <c r="G19" s="67">
        <v>1226.4284603544427</v>
      </c>
      <c r="H19" s="67">
        <v>1402.5495448709762</v>
      </c>
      <c r="I19" s="67">
        <v>1578.67062938751</v>
      </c>
      <c r="J19" s="67">
        <v>1226.4285018019987</v>
      </c>
    </row>
    <row r="20" spans="1:10" x14ac:dyDescent="0.2">
      <c r="E20" s="67"/>
      <c r="F20" s="67"/>
      <c r="G20" s="67"/>
      <c r="H20" s="67"/>
      <c r="I20" s="67"/>
      <c r="J20" s="67">
        <v>1226.4285018019987</v>
      </c>
    </row>
  </sheetData>
  <mergeCells count="6">
    <mergeCell ref="A5:A10"/>
    <mergeCell ref="E3:J3"/>
    <mergeCell ref="E13:J13"/>
    <mergeCell ref="A14:A19"/>
    <mergeCell ref="E12:J12"/>
    <mergeCell ref="E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B1:G13"/>
  <sheetViews>
    <sheetView showGridLines="0" zoomScale="150" zoomScaleNormal="150" workbookViewId="0">
      <selection activeCell="E10" sqref="E10"/>
    </sheetView>
  </sheetViews>
  <sheetFormatPr baseColWidth="10" defaultColWidth="8.83203125" defaultRowHeight="15" outlineLevelRow="1" outlineLevelCol="1" x14ac:dyDescent="0.2"/>
  <cols>
    <col min="3" max="3" width="6" customWidth="1"/>
    <col min="4" max="7" width="13.1640625" bestFit="1" customWidth="1" outlineLevel="1"/>
  </cols>
  <sheetData>
    <row r="1" spans="2:7" ht="16" thickBot="1" x14ac:dyDescent="0.25"/>
    <row r="2" spans="2:7" ht="16" x14ac:dyDescent="0.2">
      <c r="B2" s="166" t="s">
        <v>136</v>
      </c>
      <c r="C2" s="166"/>
      <c r="D2" s="134"/>
      <c r="E2" s="134"/>
      <c r="F2" s="134"/>
      <c r="G2" s="134"/>
    </row>
    <row r="3" spans="2:7" ht="16" collapsed="1" x14ac:dyDescent="0.2">
      <c r="B3" s="165"/>
      <c r="C3" s="165"/>
      <c r="D3" s="135" t="s">
        <v>138</v>
      </c>
      <c r="E3" s="135" t="s">
        <v>132</v>
      </c>
      <c r="F3" s="135" t="s">
        <v>134</v>
      </c>
      <c r="G3" s="135" t="s">
        <v>135</v>
      </c>
    </row>
    <row r="4" spans="2:7" ht="48" hidden="1" outlineLevel="1" x14ac:dyDescent="0.2">
      <c r="B4" s="167"/>
      <c r="C4" s="167"/>
      <c r="E4" s="138" t="s">
        <v>166</v>
      </c>
      <c r="F4" s="138" t="s">
        <v>133</v>
      </c>
      <c r="G4" s="138" t="s">
        <v>166</v>
      </c>
    </row>
    <row r="5" spans="2:7" x14ac:dyDescent="0.2">
      <c r="B5" s="168" t="s">
        <v>137</v>
      </c>
      <c r="C5" s="168"/>
      <c r="D5" s="133"/>
      <c r="E5" s="133"/>
      <c r="F5" s="133"/>
      <c r="G5" s="133"/>
    </row>
    <row r="6" spans="2:7" outlineLevel="1" x14ac:dyDescent="0.2">
      <c r="B6" s="167"/>
      <c r="C6" s="167" t="s">
        <v>163</v>
      </c>
      <c r="D6" s="131">
        <v>0.81089999999999995</v>
      </c>
      <c r="E6" s="137">
        <v>0.81089999999999995</v>
      </c>
      <c r="F6" s="137">
        <v>0.75</v>
      </c>
      <c r="G6" s="137">
        <v>0.85</v>
      </c>
    </row>
    <row r="7" spans="2:7" outlineLevel="1" x14ac:dyDescent="0.2">
      <c r="B7" s="167"/>
      <c r="C7" s="167" t="s">
        <v>162</v>
      </c>
      <c r="D7" s="10">
        <v>43</v>
      </c>
      <c r="E7" s="136">
        <v>43</v>
      </c>
      <c r="F7" s="136">
        <v>28</v>
      </c>
      <c r="G7" s="136">
        <v>68</v>
      </c>
    </row>
    <row r="8" spans="2:7" outlineLevel="1" x14ac:dyDescent="0.2">
      <c r="B8" s="167"/>
      <c r="C8" s="167" t="s">
        <v>164</v>
      </c>
      <c r="D8" s="10">
        <v>76</v>
      </c>
      <c r="E8" s="136">
        <v>76</v>
      </c>
      <c r="F8" s="136">
        <v>51</v>
      </c>
      <c r="G8" s="136">
        <v>101</v>
      </c>
    </row>
    <row r="9" spans="2:7" x14ac:dyDescent="0.2">
      <c r="B9" s="168" t="s">
        <v>139</v>
      </c>
      <c r="C9" s="168"/>
      <c r="D9" s="133"/>
      <c r="E9" s="133"/>
      <c r="F9" s="133"/>
      <c r="G9" s="133"/>
    </row>
    <row r="10" spans="2:7" ht="16" outlineLevel="1" thickBot="1" x14ac:dyDescent="0.25">
      <c r="B10" s="169"/>
      <c r="C10" s="169" t="s">
        <v>165</v>
      </c>
      <c r="D10" s="132">
        <v>968.98682801658799</v>
      </c>
      <c r="E10" s="132">
        <v>968.98682801658799</v>
      </c>
      <c r="F10" s="132">
        <v>0</v>
      </c>
      <c r="G10" s="132">
        <v>2426.0132291567502</v>
      </c>
    </row>
    <row r="11" spans="2:7" x14ac:dyDescent="0.2">
      <c r="B11" t="s">
        <v>140</v>
      </c>
    </row>
    <row r="12" spans="2:7" x14ac:dyDescent="0.2">
      <c r="B12" t="s">
        <v>141</v>
      </c>
    </row>
    <row r="13" spans="2:7" x14ac:dyDescent="0.2">
      <c r="B1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zoomScale="120" zoomScaleNormal="120" workbookViewId="0">
      <selection activeCell="I23" sqref="I23"/>
    </sheetView>
  </sheetViews>
  <sheetFormatPr baseColWidth="10" defaultColWidth="8.83203125" defaultRowHeight="15" x14ac:dyDescent="0.2"/>
  <cols>
    <col min="1" max="1" width="27.33203125" bestFit="1" customWidth="1"/>
    <col min="2" max="2" width="5.5" bestFit="1" customWidth="1"/>
    <col min="3" max="6" width="6.5" bestFit="1" customWidth="1"/>
    <col min="7" max="9" width="8" bestFit="1" customWidth="1"/>
  </cols>
  <sheetData>
    <row r="1" spans="1:9" ht="16" thickBot="1" x14ac:dyDescent="0.25">
      <c r="A1" s="118"/>
      <c r="B1" s="119">
        <v>2004</v>
      </c>
      <c r="C1" s="120">
        <v>2005</v>
      </c>
      <c r="D1" s="121">
        <v>2006</v>
      </c>
      <c r="E1" s="119">
        <v>2007</v>
      </c>
      <c r="F1" s="120">
        <f>E1+1</f>
        <v>2008</v>
      </c>
      <c r="G1" s="120">
        <f>F1+1</f>
        <v>2009</v>
      </c>
      <c r="H1" s="120">
        <f>G1+1</f>
        <v>2010</v>
      </c>
      <c r="I1" s="121">
        <f>H1+1</f>
        <v>2011</v>
      </c>
    </row>
    <row r="2" spans="1:9" x14ac:dyDescent="0.2">
      <c r="A2" t="s">
        <v>38</v>
      </c>
      <c r="C2" s="52">
        <f>'ROIC supp'!C6</f>
        <v>49.4</v>
      </c>
      <c r="D2" s="52">
        <f>'ROIC supp'!D6</f>
        <v>51.2</v>
      </c>
      <c r="E2" s="52">
        <f>'ROIC supp'!E6</f>
        <v>62.623999999999853</v>
      </c>
      <c r="F2" s="52">
        <f>'ROIC supp'!F6</f>
        <v>76.332799999999992</v>
      </c>
      <c r="G2" s="52">
        <f>'ROIC supp'!G6</f>
        <v>92.78336000000003</v>
      </c>
      <c r="H2" s="52">
        <f>'ROIC supp'!H6</f>
        <v>112.52403199999978</v>
      </c>
      <c r="I2" s="52">
        <f>'ROIC supp'!I6</f>
        <v>136.21283839999984</v>
      </c>
    </row>
    <row r="3" spans="1:9" ht="16" thickBot="1" x14ac:dyDescent="0.25">
      <c r="A3" t="s">
        <v>98</v>
      </c>
      <c r="C3" s="52">
        <f>('Jones Model'!C40+'Jones Model'!C41+'Jones Model'!C45-'Jones Model'!C49-'Jones Model'!C51+'Jones Model'!B40+'Jones Model'!B41+'Jones Model'!B45-'Jones Model'!B49-'Jones Model'!B51)/2</f>
        <v>525</v>
      </c>
      <c r="D3" s="52">
        <f>('Jones Model'!D40+'Jones Model'!D41+'Jones Model'!D45-'Jones Model'!D49-'Jones Model'!D51+'Jones Model'!C40+'Jones Model'!C41+'Jones Model'!C45-'Jones Model'!C49-'Jones Model'!C51)/2</f>
        <v>591.5</v>
      </c>
      <c r="E3" s="52">
        <f>('Jones Model'!E40+'Jones Model'!E41+'Jones Model'!E45-'Jones Model'!E49-'Jones Model'!E51+'Jones Model'!D40+'Jones Model'!D41+'Jones Model'!D45-'Jones Model'!D49-'Jones Model'!D51)/2</f>
        <v>683.92000000000007</v>
      </c>
      <c r="F3" s="52">
        <f>('Jones Model'!F40+'Jones Model'!F41+'Jones Model'!F45-'Jones Model'!F49-'Jones Model'!F51+'Jones Model'!E40+'Jones Model'!E41+'Jones Model'!E45-'Jones Model'!E49-'Jones Model'!E51)/2</f>
        <v>810.96400000000017</v>
      </c>
      <c r="G3" s="52">
        <f>('Jones Model'!G40+'Jones Model'!G41+'Jones Model'!G45-'Jones Model'!G49-'Jones Model'!G51+'Jones Model'!F40+'Jones Model'!F41+'Jones Model'!F45-'Jones Model'!F49-'Jones Model'!F51)/2</f>
        <v>967.05680000000007</v>
      </c>
      <c r="H3" s="52">
        <f>('Jones Model'!H40+'Jones Model'!H41+'Jones Model'!H45-'Jones Model'!H49-'Jones Model'!H51+'Jones Model'!G40+'Jones Model'!G41+'Jones Model'!G45-'Jones Model'!G49-'Jones Model'!G51)/2</f>
        <v>1158.0081599999999</v>
      </c>
      <c r="I3" s="52">
        <f>('Jones Model'!I40+'Jones Model'!I41+'Jones Model'!I45-'Jones Model'!I49-'Jones Model'!I51+'Jones Model'!H40+'Jones Model'!H41+'Jones Model'!H45-'Jones Model'!H49-'Jones Model'!H51)/2</f>
        <v>1390.7897920000003</v>
      </c>
    </row>
    <row r="4" spans="1:9" ht="16" thickBot="1" x14ac:dyDescent="0.25">
      <c r="A4" s="158" t="s">
        <v>99</v>
      </c>
      <c r="B4" s="159"/>
      <c r="C4" s="160">
        <f t="shared" ref="C4:I4" si="0">C2/C3</f>
        <v>9.4095238095238093E-2</v>
      </c>
      <c r="D4" s="160">
        <f t="shared" si="0"/>
        <v>8.6559594251901947E-2</v>
      </c>
      <c r="E4" s="160">
        <f t="shared" si="0"/>
        <v>9.1566265060240737E-2</v>
      </c>
      <c r="F4" s="160">
        <f t="shared" si="0"/>
        <v>9.4126003127142477E-2</v>
      </c>
      <c r="G4" s="160">
        <f t="shared" si="0"/>
        <v>9.594406450582843E-2</v>
      </c>
      <c r="H4" s="160">
        <f t="shared" si="0"/>
        <v>9.7170327366259482E-2</v>
      </c>
      <c r="I4" s="161">
        <f t="shared" si="0"/>
        <v>9.7939199139592051E-2</v>
      </c>
    </row>
    <row r="5" spans="1:9" x14ac:dyDescent="0.2">
      <c r="A5" s="162" t="s">
        <v>100</v>
      </c>
      <c r="B5" s="162"/>
      <c r="C5" s="163">
        <f>'Jones Model'!C25/C3</f>
        <v>3.6495238095238096</v>
      </c>
      <c r="D5" s="163">
        <f>'Jones Model'!D25/D3</f>
        <v>3.7903634826711752</v>
      </c>
      <c r="E5" s="163">
        <f>'Jones Model'!E25/E3</f>
        <v>3.9337934261317109</v>
      </c>
      <c r="F5" s="163">
        <f>'Jones Model'!F25/F3</f>
        <v>3.9810398488712191</v>
      </c>
      <c r="G5" s="163">
        <f>'Jones Model'!G25/G3</f>
        <v>4.0061514483947578</v>
      </c>
      <c r="H5" s="163">
        <f>'Jones Model'!H25/H3</f>
        <v>4.0146618655951443</v>
      </c>
      <c r="I5" s="163">
        <f>'Jones Model'!I25/I3</f>
        <v>4.0112556707635072</v>
      </c>
    </row>
    <row r="6" spans="1:9" x14ac:dyDescent="0.2">
      <c r="A6" s="162" t="s">
        <v>101</v>
      </c>
      <c r="B6" s="162"/>
      <c r="C6" s="164">
        <f>C2/'Jones Model'!C25</f>
        <v>2.5782881002087681E-2</v>
      </c>
      <c r="D6" s="164">
        <f>D2/'Jones Model'!D25</f>
        <v>2.2836752899197146E-2</v>
      </c>
      <c r="E6" s="164">
        <f>E2/'Jones Model'!E25</f>
        <v>2.3276836158192035E-2</v>
      </c>
      <c r="F6" s="164">
        <f>F2/'Jones Model'!F25</f>
        <v>2.3643572207354541E-2</v>
      </c>
      <c r="G6" s="164">
        <f>G2/'Jones Model'!G25</f>
        <v>2.3949185581656599E-2</v>
      </c>
      <c r="H6" s="164">
        <f>H2/'Jones Model'!H25</f>
        <v>2.4203863393574915E-2</v>
      </c>
      <c r="I6" s="164">
        <f>I2/'Jones Model'!I25</f>
        <v>2.4416094903506907E-2</v>
      </c>
    </row>
    <row r="7" spans="1:9" x14ac:dyDescent="0.2">
      <c r="A7" t="s">
        <v>102</v>
      </c>
      <c r="C7" s="10">
        <f>'Jones Model'!C47/'Jones Model'!C58</f>
        <v>3.1220657276995305</v>
      </c>
      <c r="D7" s="10">
        <f>'Jones Model'!D47/'Jones Model'!D58</f>
        <v>3.2263374485596708</v>
      </c>
      <c r="E7" s="10">
        <f ca="1">'Jones Model'!E47/'Jones Model'!E58</f>
        <v>3.2587237648506169</v>
      </c>
      <c r="F7" s="10">
        <f ca="1">'Jones Model'!F47/'Jones Model'!F58</f>
        <v>3.282771235342723</v>
      </c>
      <c r="G7" s="10">
        <f ca="1">'Jones Model'!G47/'Jones Model'!G58</f>
        <v>3.3007824363320046</v>
      </c>
      <c r="H7" s="10">
        <f ca="1">'Jones Model'!H47/'Jones Model'!H58</f>
        <v>3.3146552287839648</v>
      </c>
      <c r="I7" s="10">
        <f ca="1">'Jones Model'!I47/'Jones Model'!I58</f>
        <v>3.3258500676620275</v>
      </c>
    </row>
    <row r="8" spans="1:9" x14ac:dyDescent="0.2">
      <c r="A8" t="s">
        <v>103</v>
      </c>
      <c r="C8" s="47">
        <f>'Jones Model'!C36/('Jones Model'!B58+'Jones Model'!C58)/2</f>
        <v>3.6523929471032744E-2</v>
      </c>
      <c r="D8" s="47">
        <f>'Jones Model'!D36/('Jones Model'!C58+'Jones Model'!D58)/2</f>
        <v>3.2894736842105261E-2</v>
      </c>
      <c r="E8" s="47">
        <f ca="1">'Jones Model'!E36/('Jones Model'!D58+'Jones Model'!E58)/2</f>
        <v>3.9907424606630097E-2</v>
      </c>
      <c r="F8" s="47">
        <f ca="1">'Jones Model'!F36/('Jones Model'!E58+'Jones Model'!F58)/2</f>
        <v>4.1862101361900939E-2</v>
      </c>
      <c r="G8" s="47">
        <f ca="1">'Jones Model'!G36/('Jones Model'!F58+'Jones Model'!G58)/2</f>
        <v>4.3297122601027874E-2</v>
      </c>
      <c r="H8" s="47">
        <f ca="1">'Jones Model'!H36/('Jones Model'!G58+'Jones Model'!H58)/2</f>
        <v>4.4314588048489548E-2</v>
      </c>
      <c r="I8" s="47">
        <f ca="1">'Jones Model'!I36/('Jones Model'!H58+'Jones Model'!I58)/2</f>
        <v>4.500843715127463E-2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zoomScale="120" zoomScaleNormal="120" workbookViewId="0">
      <selection activeCell="J21" sqref="J21"/>
    </sheetView>
  </sheetViews>
  <sheetFormatPr baseColWidth="10" defaultColWidth="19.83203125" defaultRowHeight="15" x14ac:dyDescent="0.2"/>
  <cols>
    <col min="1" max="1" width="15" bestFit="1" customWidth="1"/>
    <col min="2" max="2" width="8.33203125" customWidth="1"/>
    <col min="3" max="3" width="6.5" bestFit="1" customWidth="1"/>
    <col min="4" max="6" width="8" bestFit="1" customWidth="1"/>
    <col min="7" max="9" width="8.1640625" bestFit="1" customWidth="1"/>
  </cols>
  <sheetData>
    <row r="1" spans="1:9" ht="16" thickBot="1" x14ac:dyDescent="0.25">
      <c r="B1" s="127">
        <v>2004</v>
      </c>
      <c r="C1" s="127">
        <v>2005</v>
      </c>
      <c r="D1" s="127">
        <v>2006</v>
      </c>
      <c r="E1" s="127">
        <v>2007</v>
      </c>
      <c r="F1" s="127">
        <f>E1+1</f>
        <v>2008</v>
      </c>
      <c r="G1" s="127">
        <f>F1+1</f>
        <v>2009</v>
      </c>
      <c r="H1" s="127">
        <f>G1+1</f>
        <v>2010</v>
      </c>
      <c r="I1" s="127">
        <f>H1+1</f>
        <v>2011</v>
      </c>
    </row>
    <row r="2" spans="1:9" x14ac:dyDescent="0.2">
      <c r="A2" t="s">
        <v>168</v>
      </c>
      <c r="B2" s="52">
        <f>'Jones Model'!B40+'Jones Model'!B41+'Jones Model'!B43+'Jones Model'!B44-'Jones Model'!B49-'Jones Model'!B51</f>
        <v>494</v>
      </c>
      <c r="C2" s="52">
        <f>'Jones Model'!C40+'Jones Model'!C41+'Jones Model'!C43+'Jones Model'!C44-'Jones Model'!C49-'Jones Model'!C51</f>
        <v>556</v>
      </c>
      <c r="D2" s="52">
        <f>'Jones Model'!D40+'Jones Model'!D41+'Jones Model'!D43+'Jones Model'!D44-'Jones Model'!D49-'Jones Model'!D51</f>
        <v>627</v>
      </c>
      <c r="E2" s="52">
        <f>'Jones Model'!E40+'Jones Model'!E41+'Jones Model'!E43+'Jones Model'!E44-'Jones Model'!E49-'Jones Model'!E51</f>
        <v>740.84</v>
      </c>
      <c r="F2" s="52">
        <f>'Jones Model'!F40+'Jones Model'!F41+'Jones Model'!F43+'Jones Model'!F44-'Jones Model'!F49-'Jones Model'!F51</f>
        <v>881.08800000000031</v>
      </c>
      <c r="G2" s="52">
        <f>'Jones Model'!G40+'Jones Model'!G41+'Jones Model'!G43+'Jones Model'!G44-'Jones Model'!G49-'Jones Model'!G51</f>
        <v>1053.0255999999997</v>
      </c>
      <c r="H2" s="52">
        <f>'Jones Model'!H40+'Jones Model'!H41+'Jones Model'!H43+'Jones Model'!H44-'Jones Model'!H49-'Jones Model'!H51</f>
        <v>1262.99072</v>
      </c>
      <c r="I2" s="52">
        <f>'Jones Model'!I40+'Jones Model'!I41+'Jones Model'!I43+'Jones Model'!I44-'Jones Model'!I49-'Jones Model'!I51</f>
        <v>1518.5888640000003</v>
      </c>
    </row>
    <row r="3" spans="1:9" x14ac:dyDescent="0.2">
      <c r="B3" s="52"/>
      <c r="C3" s="52"/>
      <c r="D3" s="52"/>
      <c r="E3" s="52"/>
      <c r="F3" s="52"/>
      <c r="G3" s="52"/>
      <c r="H3" s="52"/>
      <c r="I3" s="52"/>
    </row>
    <row r="4" spans="1:9" x14ac:dyDescent="0.2">
      <c r="A4" t="s">
        <v>33</v>
      </c>
      <c r="B4" s="124">
        <f>'Jones Model'!B29-'Jones Model'!B30-'Jones Model'!B31</f>
        <v>48</v>
      </c>
      <c r="C4" s="124">
        <f>'Jones Model'!C29-'Jones Model'!C30-'Jones Model'!C31</f>
        <v>74</v>
      </c>
      <c r="D4" s="124">
        <f>'Jones Model'!D29-'Jones Model'!D30-'Jones Model'!D31</f>
        <v>77</v>
      </c>
      <c r="E4" s="124">
        <f>'Jones Model'!E29-'Jones Model'!E30-'Jones Model'!E31</f>
        <v>96.03999999999975</v>
      </c>
      <c r="F4" s="124">
        <f>'Jones Model'!F29-'Jones Model'!F30-'Jones Model'!F31</f>
        <v>118.88799999999998</v>
      </c>
      <c r="G4" s="124">
        <f>'Jones Model'!G29-'Jones Model'!G30-'Jones Model'!G31</f>
        <v>146.30560000000006</v>
      </c>
      <c r="H4" s="124">
        <f>'Jones Model'!H29-'Jones Model'!H30-'Jones Model'!H31</f>
        <v>179.20671999999965</v>
      </c>
      <c r="I4" s="124">
        <f>'Jones Model'!I29-'Jones Model'!I30-'Jones Model'!I31</f>
        <v>218.68806399999971</v>
      </c>
    </row>
    <row r="5" spans="1:9" x14ac:dyDescent="0.2">
      <c r="A5" s="44" t="s">
        <v>120</v>
      </c>
      <c r="B5" s="125">
        <f>IF(B4&lt;40,'Jones Model'!E7*B4,(IF(B4&lt;60,(40*'Jones Model'!E7+(B4-40)*'Jones Model'!E8),(40*'Jones Model'!D7+20*'Jones Model'!E8+'Jones Model'!E9*(B4-60)))))</f>
        <v>14.8</v>
      </c>
      <c r="C5" s="125">
        <f>IF(C4&lt;40,'Jones Model'!E7*C4,(IF(C4&lt;60,(40*'Jones Model'!E7+(C4-40)*'Jones Model'!E8),(40*'Jones Model'!E7+20*'Jones Model'!E8+'Jones Model'!E9*(C4-60)))))</f>
        <v>24.6</v>
      </c>
      <c r="D5" s="125">
        <f>IF(D4&lt;40,'Jones Model'!E7*D4,(IF(D4&lt;60,(40*'Jones Model'!E7+(D4-40)*'Jones Model'!E8),(40*'Jones Model'!E7+20*'Jones Model'!E8+'Jones Model'!E9*(D4-60)))))</f>
        <v>25.8</v>
      </c>
      <c r="E5" s="125">
        <f>IF(E4&lt;40,'Jones Model'!E7*E4,(IF(E4&lt;60,(40*'Jones Model'!E7+(E4-40)*'Jones Model'!E8),(40*'Jones Model'!E7+20*'Jones Model'!E8+'Jones Model'!E9*(E4-60)))))</f>
        <v>33.415999999999897</v>
      </c>
      <c r="F5" s="125">
        <f>IF(F4&lt;40,'Jones Model'!F7*F4,(IF(F4&lt;60,(40*'Jones Model'!F7+(F4-40)*'Jones Model'!F8),(40*'Jones Model'!F7+20*'Jones Model'!F8+'Jones Model'!F9*(F4-60)))))</f>
        <v>42.555199999999992</v>
      </c>
      <c r="G5" s="125">
        <f>IF(G4&lt;40,'Jones Model'!G7*G4,(IF(G4&lt;60,(40*'Jones Model'!G7+(G4-40)*'Jones Model'!G8),(40*'Jones Model'!G7+20*'Jones Model'!G8+'Jones Model'!G9*(G4-60)))))</f>
        <v>53.522240000000025</v>
      </c>
      <c r="H5" s="125">
        <f>IF(H4&lt;40,'Jones Model'!H7*H4,(IF(H4&lt;60,(40*'Jones Model'!H7+(H4-40)*'Jones Model'!H8),(40*'Jones Model'!H7+20*'Jones Model'!H8+'Jones Model'!H9*(H4-60)))))</f>
        <v>66.682687999999871</v>
      </c>
      <c r="I5" s="125">
        <f>IF(I4&lt;40,'Jones Model'!I7*I4,(IF(I4&lt;60,(40*'Jones Model'!I7+(I4-40)*'Jones Model'!I8),(40*'Jones Model'!I7+20*'Jones Model'!I8+'Jones Model'!I9*(I4-60)))))</f>
        <v>82.475225599999888</v>
      </c>
    </row>
    <row r="6" spans="1:9" x14ac:dyDescent="0.2">
      <c r="A6" t="s">
        <v>38</v>
      </c>
      <c r="B6" s="126">
        <f>B4-B5</f>
        <v>33.200000000000003</v>
      </c>
      <c r="C6" s="126">
        <f>C4-C5</f>
        <v>49.4</v>
      </c>
      <c r="D6" s="126">
        <f>D4-D5</f>
        <v>51.2</v>
      </c>
      <c r="E6" s="126">
        <f t="shared" ref="E6:I6" si="0">E4-E5</f>
        <v>62.623999999999853</v>
      </c>
      <c r="F6" s="126">
        <f t="shared" si="0"/>
        <v>76.332799999999992</v>
      </c>
      <c r="G6" s="126">
        <f t="shared" si="0"/>
        <v>92.78336000000003</v>
      </c>
      <c r="H6" s="126">
        <f t="shared" si="0"/>
        <v>112.52403199999978</v>
      </c>
      <c r="I6" s="126">
        <f t="shared" si="0"/>
        <v>136.21283839999984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topLeftCell="A8" zoomScale="160" zoomScaleNormal="160" workbookViewId="0">
      <selection activeCell="A22" sqref="A22"/>
    </sheetView>
  </sheetViews>
  <sheetFormatPr baseColWidth="10" defaultColWidth="8.83203125" defaultRowHeight="15" x14ac:dyDescent="0.2"/>
  <cols>
    <col min="1" max="1" width="25.33203125" bestFit="1" customWidth="1"/>
    <col min="2" max="2" width="9.33203125" bestFit="1" customWidth="1"/>
    <col min="3" max="4" width="9.5" bestFit="1" customWidth="1"/>
    <col min="5" max="7" width="9.6640625" bestFit="1" customWidth="1"/>
  </cols>
  <sheetData>
    <row r="1" spans="1:7" x14ac:dyDescent="0.2">
      <c r="B1" s="149">
        <v>2006</v>
      </c>
      <c r="C1" s="149">
        <v>2007</v>
      </c>
      <c r="D1" s="149">
        <v>2008</v>
      </c>
      <c r="E1" s="149">
        <v>2009</v>
      </c>
      <c r="F1" s="149">
        <v>2010</v>
      </c>
      <c r="G1" s="149">
        <v>2011</v>
      </c>
    </row>
    <row r="2" spans="1:7" x14ac:dyDescent="0.2">
      <c r="A2" t="s">
        <v>149</v>
      </c>
      <c r="B2" s="149"/>
      <c r="C2" s="150">
        <f>'Jones Model'!E25</f>
        <v>2690.4</v>
      </c>
      <c r="D2" s="150">
        <f>'Jones Model'!F25</f>
        <v>3228.48</v>
      </c>
      <c r="E2" s="150">
        <f>'Jones Model'!G25</f>
        <v>3874.1759999999999</v>
      </c>
      <c r="F2" s="150">
        <f>'Jones Model'!H25</f>
        <v>4649.0111999999999</v>
      </c>
      <c r="G2" s="150">
        <f>'Jones Model'!I25</f>
        <v>5578.8134399999999</v>
      </c>
    </row>
    <row r="3" spans="1:7" x14ac:dyDescent="0.2">
      <c r="B3" s="149"/>
      <c r="C3" s="149"/>
      <c r="D3" s="149"/>
      <c r="E3" s="149"/>
      <c r="F3" s="149"/>
      <c r="G3" s="149"/>
    </row>
    <row r="4" spans="1:7" x14ac:dyDescent="0.2">
      <c r="A4" t="s">
        <v>33</v>
      </c>
      <c r="C4" s="141">
        <f>'Jones Model'!E29-'Jones Model'!E30-'Jones Model'!E31</f>
        <v>96.03999999999975</v>
      </c>
      <c r="D4" s="141">
        <f>'Jones Model'!F29-'Jones Model'!F30-'Jones Model'!F31</f>
        <v>118.88799999999998</v>
      </c>
      <c r="E4" s="141">
        <f>'Jones Model'!G29-'Jones Model'!G30-'Jones Model'!G31</f>
        <v>146.30560000000006</v>
      </c>
      <c r="F4" s="141">
        <f>'Jones Model'!H29-'Jones Model'!H30-'Jones Model'!H31</f>
        <v>179.20671999999965</v>
      </c>
      <c r="G4" s="141">
        <f>'Jones Model'!I29-'Jones Model'!I30-'Jones Model'!I31</f>
        <v>218.68806399999971</v>
      </c>
    </row>
    <row r="5" spans="1:7" x14ac:dyDescent="0.2">
      <c r="A5" s="44" t="s">
        <v>147</v>
      </c>
      <c r="B5" s="44"/>
      <c r="C5" s="92">
        <f>C4*35%</f>
        <v>33.613999999999912</v>
      </c>
      <c r="D5" s="92">
        <f t="shared" ref="D5:G5" si="0">D4*35%</f>
        <v>41.61079999999999</v>
      </c>
      <c r="E5" s="92">
        <f t="shared" si="0"/>
        <v>51.206960000000016</v>
      </c>
      <c r="F5" s="92">
        <f t="shared" si="0"/>
        <v>62.722351999999873</v>
      </c>
      <c r="G5" s="92">
        <f t="shared" si="0"/>
        <v>76.540822399999897</v>
      </c>
    </row>
    <row r="6" spans="1:7" x14ac:dyDescent="0.2">
      <c r="A6" t="s">
        <v>38</v>
      </c>
      <c r="C6" s="91">
        <f>C4-C5</f>
        <v>62.425999999999839</v>
      </c>
      <c r="D6" s="91">
        <f t="shared" ref="D6:G6" si="1">D4-D5</f>
        <v>77.277199999999993</v>
      </c>
      <c r="E6" s="91">
        <f t="shared" si="1"/>
        <v>95.098640000000046</v>
      </c>
      <c r="F6" s="91">
        <f t="shared" si="1"/>
        <v>116.48436799999978</v>
      </c>
      <c r="G6" s="91">
        <f t="shared" si="1"/>
        <v>142.1472415999998</v>
      </c>
    </row>
    <row r="8" spans="1:7" x14ac:dyDescent="0.2">
      <c r="A8" t="s">
        <v>158</v>
      </c>
      <c r="B8" s="141">
        <f>'Jones Model'!D40+'Jones Model'!D41+'Jones Model'!D45-'Jones Model'!D49-'Jones Model'!D51</f>
        <v>627</v>
      </c>
      <c r="C8" s="141">
        <f>'Jones Model'!E40+'Jones Model'!E41+'Jones Model'!E45-'Jones Model'!E49-'Jones Model'!E51</f>
        <v>740.84000000000015</v>
      </c>
      <c r="D8" s="141">
        <f>'Jones Model'!F40+'Jones Model'!F41+'Jones Model'!F45-'Jones Model'!F49-'Jones Model'!F51</f>
        <v>881.08800000000008</v>
      </c>
      <c r="E8" s="141">
        <f>'Jones Model'!G40+'Jones Model'!G41+'Jones Model'!G45-'Jones Model'!G49-'Jones Model'!G51</f>
        <v>1053.0255999999999</v>
      </c>
      <c r="F8" s="141">
        <f>'Jones Model'!H40+'Jones Model'!H41+'Jones Model'!H45-'Jones Model'!H49-'Jones Model'!H51</f>
        <v>1262.99072</v>
      </c>
      <c r="G8" s="141">
        <f>'Jones Model'!I40+'Jones Model'!I41+'Jones Model'!I45-'Jones Model'!I49-'Jones Model'!I51</f>
        <v>1518.5888640000003</v>
      </c>
    </row>
    <row r="9" spans="1:7" x14ac:dyDescent="0.2">
      <c r="A9" t="s">
        <v>159</v>
      </c>
      <c r="B9" s="141">
        <f>'Jones Model'!D50+'Jones Model'!D52+'Jones Model'!D54+'Jones Model'!D58-'Jones Model'!D39</f>
        <v>627</v>
      </c>
      <c r="C9" s="141">
        <f ca="1">'Jones Model'!E50+'Jones Model'!E52+'Jones Model'!E54+'Jones Model'!E58-'Jones Model'!E39</f>
        <v>740.84000001622292</v>
      </c>
      <c r="D9" s="141">
        <f ca="1">'Jones Model'!F50+'Jones Model'!F52+'Jones Model'!F54+'Jones Model'!F58-'Jones Model'!F39</f>
        <v>881.08800021245781</v>
      </c>
      <c r="E9" s="141">
        <f ca="1">'Jones Model'!G50+'Jones Model'!G52+'Jones Model'!G54+'Jones Model'!G58-'Jones Model'!G39</f>
        <v>1053.0256014044842</v>
      </c>
      <c r="F9" s="141">
        <f ca="1">'Jones Model'!H50+'Jones Model'!H52+'Jones Model'!H54+'Jones Model'!H58-'Jones Model'!H39</f>
        <v>1262.9907263198179</v>
      </c>
      <c r="G9" s="141">
        <f ca="1">'Jones Model'!I50+'Jones Model'!I52+'Jones Model'!I54+'Jones Model'!I58-'Jones Model'!I39</f>
        <v>1518.5888859903828</v>
      </c>
    </row>
    <row r="10" spans="1:7" x14ac:dyDescent="0.2">
      <c r="A10" t="s">
        <v>151</v>
      </c>
      <c r="C10" s="141">
        <f>(C8+B8)/2</f>
        <v>683.92000000000007</v>
      </c>
      <c r="D10" s="141">
        <f t="shared" ref="D10:G10" si="2">(D8+C8)/2</f>
        <v>810.96400000000017</v>
      </c>
      <c r="E10" s="141">
        <f t="shared" si="2"/>
        <v>967.05680000000007</v>
      </c>
      <c r="F10" s="141">
        <f t="shared" si="2"/>
        <v>1158.0081599999999</v>
      </c>
      <c r="G10" s="141">
        <f t="shared" si="2"/>
        <v>1390.789792</v>
      </c>
    </row>
    <row r="12" spans="1:7" x14ac:dyDescent="0.2">
      <c r="A12" t="s">
        <v>99</v>
      </c>
      <c r="C12" s="47">
        <f>C6/C10</f>
        <v>9.1276757515498644E-2</v>
      </c>
      <c r="D12" s="47">
        <f t="shared" ref="D12:G12" si="3">D6/D10</f>
        <v>9.5290543106722345E-2</v>
      </c>
      <c r="E12" s="47">
        <f t="shared" si="3"/>
        <v>9.833821550088892E-2</v>
      </c>
      <c r="F12" s="47">
        <f t="shared" si="3"/>
        <v>0.10059028254170488</v>
      </c>
      <c r="G12" s="47">
        <f t="shared" si="3"/>
        <v>0.10220612950831882</v>
      </c>
    </row>
    <row r="14" spans="1:7" x14ac:dyDescent="0.2">
      <c r="A14" t="s">
        <v>152</v>
      </c>
      <c r="C14" s="47">
        <f>C6/C2</f>
        <v>2.3203241153731725E-2</v>
      </c>
      <c r="D14" s="47">
        <f t="shared" ref="D14:G14" si="4">D6/D2</f>
        <v>2.3936093765487162E-2</v>
      </c>
      <c r="E14" s="47">
        <f t="shared" si="4"/>
        <v>2.4546804275283326E-2</v>
      </c>
      <c r="F14" s="47">
        <f t="shared" si="4"/>
        <v>2.5055729700113386E-2</v>
      </c>
      <c r="G14" s="47">
        <f t="shared" si="4"/>
        <v>2.5479834220805169E-2</v>
      </c>
    </row>
    <row r="15" spans="1:7" x14ac:dyDescent="0.2">
      <c r="A15" s="44" t="s">
        <v>150</v>
      </c>
      <c r="B15" s="44"/>
      <c r="C15" s="151">
        <f>C2/C10</f>
        <v>3.9337934261317109</v>
      </c>
      <c r="D15" s="151">
        <f>D2/D10</f>
        <v>3.9810398488712191</v>
      </c>
      <c r="E15" s="151">
        <f>E2/E10</f>
        <v>4.0061514483947578</v>
      </c>
      <c r="F15" s="151">
        <f>F2/F10</f>
        <v>4.0146618655951443</v>
      </c>
      <c r="G15" s="151">
        <f>G2/G10</f>
        <v>4.0112556707635081</v>
      </c>
    </row>
    <row r="16" spans="1:7" x14ac:dyDescent="0.2">
      <c r="A16" t="s">
        <v>99</v>
      </c>
      <c r="C16" s="47">
        <f>C15*C14</f>
        <v>9.127675751549863E-2</v>
      </c>
      <c r="D16" s="47">
        <f t="shared" ref="D16:G16" si="5">D15*D14</f>
        <v>9.5290543106722345E-2</v>
      </c>
      <c r="E16" s="47">
        <f t="shared" si="5"/>
        <v>9.8338215500888934E-2</v>
      </c>
      <c r="F16" s="47">
        <f t="shared" si="5"/>
        <v>0.10059028254170488</v>
      </c>
      <c r="G16" s="47">
        <f t="shared" si="5"/>
        <v>0.10220612950831882</v>
      </c>
    </row>
    <row r="18" spans="1:2" x14ac:dyDescent="0.2">
      <c r="A18" t="s">
        <v>83</v>
      </c>
      <c r="B18" s="154">
        <v>43</v>
      </c>
    </row>
    <row r="19" spans="1:2" x14ac:dyDescent="0.2">
      <c r="A19" t="s">
        <v>84</v>
      </c>
      <c r="B19" s="154">
        <v>76</v>
      </c>
    </row>
    <row r="20" spans="1:2" x14ac:dyDescent="0.2">
      <c r="A20" t="s">
        <v>89</v>
      </c>
      <c r="B20" s="154">
        <v>9</v>
      </c>
    </row>
    <row r="21" spans="1:2" x14ac:dyDescent="0.2">
      <c r="A21" t="s">
        <v>160</v>
      </c>
      <c r="B21" s="153">
        <v>0.1124</v>
      </c>
    </row>
    <row r="22" spans="1:2" x14ac:dyDescent="0.2">
      <c r="A22" t="s">
        <v>143</v>
      </c>
      <c r="B22" s="153">
        <v>0.81740000000000002</v>
      </c>
    </row>
    <row r="23" spans="1:2" x14ac:dyDescent="0.2">
      <c r="A23" t="s">
        <v>161</v>
      </c>
      <c r="B23" s="153">
        <v>0.13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"/>
  <sheetViews>
    <sheetView topLeftCell="A4" zoomScale="140" zoomScaleNormal="140" workbookViewId="0">
      <selection activeCell="H19" sqref="H19"/>
    </sheetView>
  </sheetViews>
  <sheetFormatPr baseColWidth="10" defaultColWidth="8.83203125" defaultRowHeight="15" x14ac:dyDescent="0.2"/>
  <cols>
    <col min="1" max="1" width="27.6640625" bestFit="1" customWidth="1"/>
    <col min="2" max="2" width="9.33203125" bestFit="1" customWidth="1"/>
    <col min="3" max="4" width="10" bestFit="1" customWidth="1"/>
    <col min="5" max="7" width="10.1640625" bestFit="1" customWidth="1"/>
  </cols>
  <sheetData>
    <row r="1" spans="1:7" x14ac:dyDescent="0.2">
      <c r="B1" s="53">
        <v>2006</v>
      </c>
      <c r="C1" s="53">
        <v>2007</v>
      </c>
      <c r="D1" s="53">
        <v>2008</v>
      </c>
      <c r="E1" s="53">
        <v>2009</v>
      </c>
      <c r="F1" s="53">
        <v>2010</v>
      </c>
      <c r="G1" s="53">
        <v>2011</v>
      </c>
    </row>
    <row r="2" spans="1:7" x14ac:dyDescent="0.2">
      <c r="A2" t="s">
        <v>149</v>
      </c>
      <c r="B2" s="53"/>
      <c r="C2" s="150">
        <f>'Jones Model'!E25</f>
        <v>2690.4</v>
      </c>
      <c r="D2" s="150">
        <f>'Jones Model'!F25</f>
        <v>3228.48</v>
      </c>
      <c r="E2" s="150">
        <f>'Jones Model'!G25</f>
        <v>3874.1759999999999</v>
      </c>
      <c r="F2" s="150">
        <f>'Jones Model'!H25</f>
        <v>4649.0111999999999</v>
      </c>
      <c r="G2" s="150">
        <f>'Jones Model'!I25</f>
        <v>5578.8134399999999</v>
      </c>
    </row>
    <row r="3" spans="1:7" x14ac:dyDescent="0.2">
      <c r="B3" s="53"/>
      <c r="C3" s="53"/>
      <c r="D3" s="53"/>
      <c r="E3" s="53"/>
      <c r="F3" s="53"/>
      <c r="G3" s="53"/>
    </row>
    <row r="4" spans="1:7" x14ac:dyDescent="0.2">
      <c r="A4" t="s">
        <v>33</v>
      </c>
      <c r="B4" s="141"/>
      <c r="C4" s="141">
        <f>'Jones Model'!E29-'Jones Model'!E30-'Jones Model'!E31</f>
        <v>96.03999999999975</v>
      </c>
      <c r="D4" s="141">
        <f>'Jones Model'!F29-'Jones Model'!F30-'Jones Model'!F31</f>
        <v>118.88799999999998</v>
      </c>
      <c r="E4" s="141">
        <f>'Jones Model'!G29-'Jones Model'!G30-'Jones Model'!G31</f>
        <v>146.30560000000006</v>
      </c>
      <c r="F4" s="141">
        <f>'Jones Model'!H29-'Jones Model'!H30-'Jones Model'!H31</f>
        <v>179.20671999999965</v>
      </c>
      <c r="G4" s="141">
        <f>'Jones Model'!I29-'Jones Model'!I30-'Jones Model'!I31</f>
        <v>218.68806399999971</v>
      </c>
    </row>
    <row r="5" spans="1:7" x14ac:dyDescent="0.2">
      <c r="A5" t="s">
        <v>153</v>
      </c>
      <c r="B5" s="141"/>
      <c r="C5" s="152">
        <f>C4*0.35</f>
        <v>33.613999999999912</v>
      </c>
      <c r="D5" s="152">
        <f t="shared" ref="D5:G5" si="0">D4*0.35</f>
        <v>41.61079999999999</v>
      </c>
      <c r="E5" s="152">
        <f t="shared" si="0"/>
        <v>51.206960000000016</v>
      </c>
      <c r="F5" s="152">
        <f t="shared" si="0"/>
        <v>62.722351999999873</v>
      </c>
      <c r="G5" s="152">
        <f t="shared" si="0"/>
        <v>76.540822399999897</v>
      </c>
    </row>
    <row r="6" spans="1:7" x14ac:dyDescent="0.2">
      <c r="A6" t="s">
        <v>154</v>
      </c>
      <c r="B6" s="141"/>
      <c r="C6" s="141">
        <f>C4-C5</f>
        <v>62.425999999999839</v>
      </c>
      <c r="D6" s="141">
        <f t="shared" ref="D6:G6" si="1">D4-D5</f>
        <v>77.277199999999993</v>
      </c>
      <c r="E6" s="141">
        <f t="shared" si="1"/>
        <v>95.098640000000046</v>
      </c>
      <c r="F6" s="141">
        <f t="shared" si="1"/>
        <v>116.48436799999978</v>
      </c>
      <c r="G6" s="141">
        <f t="shared" si="1"/>
        <v>142.1472415999998</v>
      </c>
    </row>
    <row r="7" spans="1:7" x14ac:dyDescent="0.2">
      <c r="B7" s="141"/>
      <c r="C7" s="141"/>
      <c r="D7" s="141"/>
      <c r="E7" s="141"/>
      <c r="F7" s="141"/>
      <c r="G7" s="141"/>
    </row>
    <row r="8" spans="1:7" x14ac:dyDescent="0.2">
      <c r="A8" t="s">
        <v>155</v>
      </c>
      <c r="B8" s="141">
        <f>'Jones Model'!D40+'Jones Model'!D41+'Jones Model'!D45-'Jones Model'!D49-'Jones Model'!D51</f>
        <v>627</v>
      </c>
      <c r="C8" s="141">
        <f>'Jones Model'!E40+'Jones Model'!E41+'Jones Model'!E45-'Jones Model'!E49-'Jones Model'!E51</f>
        <v>740.84000000000015</v>
      </c>
      <c r="D8" s="141">
        <f>'Jones Model'!F40+'Jones Model'!F41+'Jones Model'!F45-'Jones Model'!F49-'Jones Model'!F51</f>
        <v>881.08800000000008</v>
      </c>
      <c r="E8" s="141">
        <f>'Jones Model'!G40+'Jones Model'!G41+'Jones Model'!G45-'Jones Model'!G49-'Jones Model'!G51</f>
        <v>1053.0255999999999</v>
      </c>
      <c r="F8" s="141">
        <f>'Jones Model'!H40+'Jones Model'!H41+'Jones Model'!H45-'Jones Model'!H49-'Jones Model'!H51</f>
        <v>1262.99072</v>
      </c>
      <c r="G8" s="141">
        <f>'Jones Model'!I40+'Jones Model'!I41+'Jones Model'!I45-'Jones Model'!I49-'Jones Model'!I51</f>
        <v>1518.5888640000003</v>
      </c>
    </row>
    <row r="9" spans="1:7" x14ac:dyDescent="0.2">
      <c r="A9" t="s">
        <v>156</v>
      </c>
      <c r="B9" s="141">
        <f>'Jones Model'!D50+'Jones Model'!D52+'Jones Model'!D54+'Jones Model'!D58-'Jones Model'!D39</f>
        <v>627</v>
      </c>
      <c r="C9" s="141">
        <f ca="1">'Jones Model'!E50+'Jones Model'!E52+'Jones Model'!E54+'Jones Model'!E58-'Jones Model'!E39</f>
        <v>740.84000001622292</v>
      </c>
      <c r="D9" s="141">
        <f ca="1">'Jones Model'!F50+'Jones Model'!F52+'Jones Model'!F54+'Jones Model'!F58-'Jones Model'!F39</f>
        <v>881.08800021245781</v>
      </c>
      <c r="E9" s="141">
        <f ca="1">'Jones Model'!G50+'Jones Model'!G52+'Jones Model'!G54+'Jones Model'!G58-'Jones Model'!G39</f>
        <v>1053.0256014044842</v>
      </c>
      <c r="F9" s="141">
        <f ca="1">'Jones Model'!H50+'Jones Model'!H52+'Jones Model'!H54+'Jones Model'!H58-'Jones Model'!H39</f>
        <v>1262.9907263198179</v>
      </c>
      <c r="G9" s="141">
        <f ca="1">'Jones Model'!I50+'Jones Model'!I52+'Jones Model'!I54+'Jones Model'!I58-'Jones Model'!I39</f>
        <v>1518.5888859903828</v>
      </c>
    </row>
    <row r="10" spans="1:7" x14ac:dyDescent="0.2">
      <c r="B10" s="141"/>
      <c r="C10" s="141"/>
      <c r="D10" s="141"/>
      <c r="E10" s="141"/>
      <c r="F10" s="141"/>
      <c r="G10" s="141"/>
    </row>
    <row r="11" spans="1:7" x14ac:dyDescent="0.2">
      <c r="A11" t="s">
        <v>151</v>
      </c>
      <c r="B11" s="141"/>
      <c r="C11" s="141">
        <f ca="1">(C9+B9)/2</f>
        <v>683.9200000081114</v>
      </c>
      <c r="D11" s="141">
        <f t="shared" ref="D11:G11" ca="1" si="2">(D9+C9)/2</f>
        <v>810.96400011434037</v>
      </c>
      <c r="E11" s="141">
        <f t="shared" ca="1" si="2"/>
        <v>967.05680080847105</v>
      </c>
      <c r="F11" s="141">
        <f t="shared" ca="1" si="2"/>
        <v>1158.0081638621509</v>
      </c>
      <c r="G11" s="141">
        <f t="shared" ca="1" si="2"/>
        <v>1390.7898061551005</v>
      </c>
    </row>
    <row r="13" spans="1:7" x14ac:dyDescent="0.2">
      <c r="A13" t="s">
        <v>99</v>
      </c>
      <c r="C13" s="47">
        <f ca="1">C6/C11</f>
        <v>9.1276757514416093E-2</v>
      </c>
      <c r="D13" s="47">
        <f t="shared" ref="D13:G13" ca="1" si="3">D6/D11</f>
        <v>9.529054309328705E-2</v>
      </c>
      <c r="E13" s="47">
        <f t="shared" ca="1" si="3"/>
        <v>9.8338215418677002E-2</v>
      </c>
      <c r="F13" s="47">
        <f t="shared" ca="1" si="3"/>
        <v>0.10059028220621945</v>
      </c>
      <c r="G13" s="47">
        <f t="shared" ca="1" si="3"/>
        <v>0.10220612846809116</v>
      </c>
    </row>
    <row r="15" spans="1:7" x14ac:dyDescent="0.2">
      <c r="A15" t="s">
        <v>152</v>
      </c>
      <c r="C15" s="47">
        <f>C6/C2</f>
        <v>2.3203241153731725E-2</v>
      </c>
      <c r="D15" s="47">
        <f t="shared" ref="D15:G15" si="4">D6/D2</f>
        <v>2.3936093765487162E-2</v>
      </c>
      <c r="E15" s="47">
        <f t="shared" si="4"/>
        <v>2.4546804275283326E-2</v>
      </c>
      <c r="F15" s="47">
        <f t="shared" si="4"/>
        <v>2.5055729700113386E-2</v>
      </c>
      <c r="G15" s="47">
        <f t="shared" si="4"/>
        <v>2.5479834220805169E-2</v>
      </c>
    </row>
    <row r="16" spans="1:7" x14ac:dyDescent="0.2">
      <c r="A16" s="44" t="s">
        <v>150</v>
      </c>
      <c r="B16" s="44"/>
      <c r="C16" s="151">
        <f ca="1">C2/C11</f>
        <v>3.9337934260850562</v>
      </c>
      <c r="D16" s="151">
        <f t="shared" ref="D16:G16" ca="1" si="5">D2/D11</f>
        <v>3.9810398483099205</v>
      </c>
      <c r="E16" s="151">
        <f t="shared" ca="1" si="5"/>
        <v>4.0061514450455675</v>
      </c>
      <c r="F16" s="151">
        <f t="shared" ca="1" si="5"/>
        <v>4.0146618522055748</v>
      </c>
      <c r="G16" s="151">
        <f t="shared" ca="1" si="5"/>
        <v>4.0112556299379811</v>
      </c>
    </row>
    <row r="17" spans="1:7" x14ac:dyDescent="0.2">
      <c r="A17" t="s">
        <v>99</v>
      </c>
      <c r="C17" s="47">
        <f ca="1">C16*C15</f>
        <v>9.1276757514416093E-2</v>
      </c>
      <c r="D17" s="47">
        <f t="shared" ref="D17:G17" ca="1" si="6">D16*D15</f>
        <v>9.529054309328705E-2</v>
      </c>
      <c r="E17" s="47">
        <f t="shared" ca="1" si="6"/>
        <v>9.8338215418677016E-2</v>
      </c>
      <c r="F17" s="47">
        <f t="shared" ca="1" si="6"/>
        <v>0.10059028220621943</v>
      </c>
      <c r="G17" s="47">
        <f t="shared" ca="1" si="6"/>
        <v>0.10220612846809117</v>
      </c>
    </row>
    <row r="19" spans="1:7" x14ac:dyDescent="0.2">
      <c r="A19" t="s">
        <v>83</v>
      </c>
      <c r="B19" s="154">
        <v>43</v>
      </c>
    </row>
    <row r="20" spans="1:7" x14ac:dyDescent="0.2">
      <c r="A20" t="s">
        <v>84</v>
      </c>
      <c r="B20" s="154">
        <v>76</v>
      </c>
    </row>
    <row r="21" spans="1:7" x14ac:dyDescent="0.2">
      <c r="A21" t="s">
        <v>89</v>
      </c>
      <c r="B21" s="154">
        <v>9</v>
      </c>
    </row>
    <row r="22" spans="1:7" x14ac:dyDescent="0.2">
      <c r="A22" t="s">
        <v>143</v>
      </c>
      <c r="B22" s="153">
        <v>0.81740000000000002</v>
      </c>
    </row>
    <row r="23" spans="1:7" x14ac:dyDescent="0.2">
      <c r="A23" t="s">
        <v>157</v>
      </c>
      <c r="B23" s="153">
        <v>0.14000000000000001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G18"/>
  <sheetViews>
    <sheetView zoomScale="130" zoomScaleNormal="130" workbookViewId="0">
      <selection activeCell="A3" sqref="A3:XFD3"/>
    </sheetView>
  </sheetViews>
  <sheetFormatPr baseColWidth="10" defaultColWidth="8.83203125" defaultRowHeight="15" x14ac:dyDescent="0.2"/>
  <cols>
    <col min="1" max="1" width="31.33203125" bestFit="1" customWidth="1"/>
    <col min="2" max="2" width="9.33203125" bestFit="1" customWidth="1"/>
    <col min="3" max="4" width="10" bestFit="1" customWidth="1"/>
    <col min="5" max="7" width="10.1640625" bestFit="1" customWidth="1"/>
  </cols>
  <sheetData>
    <row r="2" spans="1:7" x14ac:dyDescent="0.2">
      <c r="B2" s="53">
        <v>2006</v>
      </c>
      <c r="C2" s="53">
        <v>2007</v>
      </c>
      <c r="D2" s="53">
        <v>2008</v>
      </c>
      <c r="E2" s="53">
        <v>2009</v>
      </c>
      <c r="F2" s="53">
        <v>2010</v>
      </c>
      <c r="G2" s="53">
        <v>2011</v>
      </c>
    </row>
    <row r="3" spans="1:7" x14ac:dyDescent="0.2">
      <c r="A3" t="s">
        <v>145</v>
      </c>
      <c r="B3" s="141">
        <f>'Jones Model'!D40+'Jones Model'!D41+'Jones Model'!D45-'Jones Model'!D49-'Jones Model'!D51</f>
        <v>627</v>
      </c>
      <c r="C3" s="141">
        <f>'Jones Model'!E40+'Jones Model'!E41+'Jones Model'!E45-'Jones Model'!E49-'Jones Model'!E51</f>
        <v>740.84000000000015</v>
      </c>
      <c r="D3" s="141">
        <f>'Jones Model'!F40+'Jones Model'!F41+'Jones Model'!F45-'Jones Model'!F49-'Jones Model'!F51</f>
        <v>881.08800000000008</v>
      </c>
      <c r="E3" s="141">
        <f>'Jones Model'!G40+'Jones Model'!G41+'Jones Model'!G45-'Jones Model'!G49-'Jones Model'!G51</f>
        <v>1053.0255999999999</v>
      </c>
      <c r="F3" s="141">
        <f>'Jones Model'!H40+'Jones Model'!H41+'Jones Model'!H45-'Jones Model'!H49-'Jones Model'!H51</f>
        <v>1262.99072</v>
      </c>
      <c r="G3" s="141">
        <f>'Jones Model'!I40+'Jones Model'!I41+'Jones Model'!I45-'Jones Model'!I49-'Jones Model'!I51</f>
        <v>1518.5888640000003</v>
      </c>
    </row>
    <row r="4" spans="1:7" x14ac:dyDescent="0.2">
      <c r="A4" t="s">
        <v>146</v>
      </c>
      <c r="B4" s="141">
        <f>'Jones Model'!D50+'Jones Model'!D52+'Jones Model'!D54+'Jones Model'!D58-'Jones Model'!D39</f>
        <v>627</v>
      </c>
      <c r="C4" s="141">
        <f ca="1">'Jones Model'!E50+'Jones Model'!E52+'Jones Model'!E54+'Jones Model'!E58-'Jones Model'!E39</f>
        <v>740.84000001622292</v>
      </c>
      <c r="D4" s="141">
        <f ca="1">'Jones Model'!F50+'Jones Model'!F52+'Jones Model'!F54+'Jones Model'!F58-'Jones Model'!F39</f>
        <v>881.08800021245781</v>
      </c>
      <c r="E4" s="141">
        <f ca="1">'Jones Model'!G50+'Jones Model'!G52+'Jones Model'!G54+'Jones Model'!G58-'Jones Model'!G39</f>
        <v>1053.0256014044842</v>
      </c>
      <c r="F4" s="141">
        <f ca="1">'Jones Model'!H50+'Jones Model'!H52+'Jones Model'!H54+'Jones Model'!H58-'Jones Model'!H39</f>
        <v>1262.9907263198179</v>
      </c>
      <c r="G4" s="141">
        <f ca="1">'Jones Model'!I50+'Jones Model'!I52+'Jones Model'!I54+'Jones Model'!I58-'Jones Model'!I39</f>
        <v>1518.5888859903828</v>
      </c>
    </row>
    <row r="5" spans="1:7" x14ac:dyDescent="0.2">
      <c r="A5" t="s">
        <v>151</v>
      </c>
      <c r="C5" s="91">
        <f ca="1">(C4+B4)/2</f>
        <v>683.9200000081114</v>
      </c>
      <c r="D5" s="91">
        <f t="shared" ref="D5:G5" ca="1" si="0">(D4+C4)/2</f>
        <v>810.96400011434037</v>
      </c>
      <c r="E5" s="91">
        <f t="shared" ca="1" si="0"/>
        <v>967.05680080847105</v>
      </c>
      <c r="F5" s="91">
        <f t="shared" ca="1" si="0"/>
        <v>1158.0081638621509</v>
      </c>
      <c r="G5" s="91">
        <f t="shared" ca="1" si="0"/>
        <v>1390.7898061551005</v>
      </c>
    </row>
    <row r="6" spans="1:7" x14ac:dyDescent="0.2">
      <c r="A6" t="s">
        <v>33</v>
      </c>
      <c r="C6" s="141">
        <f>'Jones Model'!D29-'Jones Model'!D30-'Jones Model'!D31</f>
        <v>77</v>
      </c>
      <c r="D6" s="141">
        <f>'Jones Model'!E29-'Jones Model'!E30-'Jones Model'!E31</f>
        <v>96.03999999999975</v>
      </c>
      <c r="E6" s="141">
        <f>'Jones Model'!F29-'Jones Model'!F30-'Jones Model'!F31</f>
        <v>118.88799999999998</v>
      </c>
      <c r="F6" s="141">
        <f>'Jones Model'!G29-'Jones Model'!G30-'Jones Model'!G31</f>
        <v>146.30560000000006</v>
      </c>
      <c r="G6" s="141">
        <f>'Jones Model'!H29-'Jones Model'!H30-'Jones Model'!H31</f>
        <v>179.20671999999965</v>
      </c>
    </row>
    <row r="7" spans="1:7" x14ac:dyDescent="0.2">
      <c r="A7" t="s">
        <v>147</v>
      </c>
      <c r="C7" s="143">
        <v>0.35</v>
      </c>
      <c r="D7" s="143">
        <v>0.35</v>
      </c>
      <c r="E7" s="143">
        <v>0.35</v>
      </c>
      <c r="F7" s="143">
        <v>0.35</v>
      </c>
      <c r="G7" s="143">
        <v>0.35</v>
      </c>
    </row>
    <row r="8" spans="1:7" x14ac:dyDescent="0.2">
      <c r="A8" t="s">
        <v>38</v>
      </c>
      <c r="C8" s="142">
        <f>C6*(1-C7)</f>
        <v>50.050000000000004</v>
      </c>
      <c r="D8" s="142">
        <f t="shared" ref="D8:G8" si="1">D6*(1-D7)</f>
        <v>62.425999999999839</v>
      </c>
      <c r="E8" s="142">
        <f t="shared" si="1"/>
        <v>77.277199999999993</v>
      </c>
      <c r="F8" s="142">
        <f t="shared" si="1"/>
        <v>95.098640000000046</v>
      </c>
      <c r="G8" s="142">
        <f t="shared" si="1"/>
        <v>116.48436799999978</v>
      </c>
    </row>
    <row r="10" spans="1:7" x14ac:dyDescent="0.2">
      <c r="A10" t="s">
        <v>148</v>
      </c>
      <c r="C10" s="47">
        <f>C8/((B3+C3)/2)</f>
        <v>7.3181073809802308E-2</v>
      </c>
      <c r="D10" s="47">
        <f t="shared" ref="D10:G10" si="2">D8/((C3+D3)/2)</f>
        <v>7.6977523046645499E-2</v>
      </c>
      <c r="E10" s="47">
        <f t="shared" si="2"/>
        <v>7.9909680589599269E-2</v>
      </c>
      <c r="F10" s="47">
        <f t="shared" si="2"/>
        <v>8.2122599205173175E-2</v>
      </c>
      <c r="G10" s="47">
        <f t="shared" si="2"/>
        <v>8.3754114870581223E-2</v>
      </c>
    </row>
    <row r="12" spans="1:7" x14ac:dyDescent="0.2">
      <c r="A12" t="s">
        <v>149</v>
      </c>
      <c r="C12" s="141">
        <f>'Jones Model'!E25</f>
        <v>2690.4</v>
      </c>
      <c r="D12" s="141">
        <f>'Jones Model'!F25</f>
        <v>3228.48</v>
      </c>
      <c r="E12" s="141">
        <f>'Jones Model'!G25</f>
        <v>3874.1759999999999</v>
      </c>
      <c r="F12" s="141">
        <f>'Jones Model'!H25</f>
        <v>4649.0111999999999</v>
      </c>
      <c r="G12" s="141">
        <f>'Jones Model'!I25</f>
        <v>5578.8134399999999</v>
      </c>
    </row>
    <row r="13" spans="1:7" ht="16" thickBot="1" x14ac:dyDescent="0.25"/>
    <row r="14" spans="1:7" ht="16" thickBot="1" x14ac:dyDescent="0.25">
      <c r="A14" s="118" t="s">
        <v>150</v>
      </c>
      <c r="B14" s="144"/>
      <c r="C14" s="145">
        <f ca="1">C12/C5</f>
        <v>3.9337934260850562</v>
      </c>
      <c r="D14" s="145">
        <f t="shared" ref="D14:G14" ca="1" si="3">D12/D5</f>
        <v>3.9810398483099205</v>
      </c>
      <c r="E14" s="145">
        <f t="shared" ca="1" si="3"/>
        <v>4.0061514450455675</v>
      </c>
      <c r="F14" s="145">
        <f t="shared" ca="1" si="3"/>
        <v>4.0146618522055748</v>
      </c>
      <c r="G14" s="146">
        <f t="shared" ca="1" si="3"/>
        <v>4.0112556299379811</v>
      </c>
    </row>
    <row r="15" spans="1:7" ht="16" thickBot="1" x14ac:dyDescent="0.25"/>
    <row r="16" spans="1:7" ht="16" thickBot="1" x14ac:dyDescent="0.25">
      <c r="A16" s="118" t="s">
        <v>152</v>
      </c>
      <c r="B16" s="144"/>
      <c r="C16" s="147">
        <f>C8/C12</f>
        <v>1.8603181683021112E-2</v>
      </c>
      <c r="D16" s="147">
        <f t="shared" ref="D16:G16" si="4">D8/D12</f>
        <v>1.9336034294776438E-2</v>
      </c>
      <c r="E16" s="147">
        <f t="shared" si="4"/>
        <v>1.9946744804572637E-2</v>
      </c>
      <c r="F16" s="147">
        <f t="shared" si="4"/>
        <v>2.045567022940277E-2</v>
      </c>
      <c r="G16" s="148">
        <f t="shared" si="4"/>
        <v>2.087977475009449E-2</v>
      </c>
    </row>
    <row r="18" spans="1:7" x14ac:dyDescent="0.2">
      <c r="A18" t="s">
        <v>99</v>
      </c>
      <c r="C18" s="47">
        <f ca="1">C16*C14</f>
        <v>7.3181073808934377E-2</v>
      </c>
      <c r="D18" s="47">
        <f t="shared" ref="D18:G18" ca="1" si="5">D16*D14</f>
        <v>7.6977523035792209E-2</v>
      </c>
      <c r="E18" s="47">
        <f t="shared" ca="1" si="5"/>
        <v>7.9909680522793833E-2</v>
      </c>
      <c r="F18" s="47">
        <f t="shared" ca="1" si="5"/>
        <v>8.2122598931280558E-2</v>
      </c>
      <c r="G18" s="47">
        <f t="shared" ca="1" si="5"/>
        <v>8.3754114018153428E-2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2"/>
  <sheetViews>
    <sheetView topLeftCell="A28" workbookViewId="0">
      <selection activeCell="M44" sqref="M44"/>
    </sheetView>
  </sheetViews>
  <sheetFormatPr baseColWidth="10" defaultColWidth="8.83203125" defaultRowHeight="15" x14ac:dyDescent="0.2"/>
  <cols>
    <col min="1" max="1" width="28.1640625" bestFit="1" customWidth="1"/>
    <col min="2" max="2" width="10.5" bestFit="1" customWidth="1"/>
    <col min="5" max="5" width="9.5" bestFit="1" customWidth="1"/>
    <col min="6" max="6" width="10.1640625" customWidth="1"/>
    <col min="7" max="7" width="9.33203125" customWidth="1"/>
  </cols>
  <sheetData>
    <row r="1" spans="1:9" x14ac:dyDescent="0.2">
      <c r="B1" s="30">
        <v>2006</v>
      </c>
      <c r="C1" s="3">
        <v>2007</v>
      </c>
      <c r="D1" s="3">
        <f>C1+1</f>
        <v>2008</v>
      </c>
      <c r="E1" s="3">
        <f>D1+1</f>
        <v>2009</v>
      </c>
      <c r="F1" s="3">
        <f>E1+1</f>
        <v>2010</v>
      </c>
      <c r="G1" s="3">
        <f>F1+1</f>
        <v>2011</v>
      </c>
    </row>
    <row r="2" spans="1:9" x14ac:dyDescent="0.2">
      <c r="A2" s="2" t="s">
        <v>1</v>
      </c>
      <c r="B2" s="6">
        <f>'Jones Model'!D29</f>
        <v>424</v>
      </c>
      <c r="C2" s="5">
        <f>'Jones Model'!E29</f>
        <v>508.79999999999973</v>
      </c>
      <c r="D2" s="5">
        <f>'Jones Model'!F29</f>
        <v>610.55999999999995</v>
      </c>
      <c r="E2" s="5">
        <f>'Jones Model'!G29</f>
        <v>732.67200000000003</v>
      </c>
      <c r="F2" s="5">
        <f>'Jones Model'!H29</f>
        <v>879.20639999999958</v>
      </c>
      <c r="G2" s="5">
        <f>'Jones Model'!I29</f>
        <v>1055.0476799999997</v>
      </c>
      <c r="H2" s="15"/>
      <c r="I2" s="15"/>
    </row>
    <row r="3" spans="1:9" x14ac:dyDescent="0.2">
      <c r="A3" t="s">
        <v>35</v>
      </c>
      <c r="B3" s="31">
        <f>'Jones Model'!D30+('Jones Model'!D44-'Jones Model'!C44)</f>
        <v>277</v>
      </c>
      <c r="C3" s="9">
        <f>'Jones Model'!E30+('Jones Model'!E44-'Jones Model'!D44)</f>
        <v>336.03999999999996</v>
      </c>
      <c r="D3" s="9">
        <f>'Jones Model'!F30+('Jones Model'!F44-'Jones Model'!E44)</f>
        <v>406.88799999999998</v>
      </c>
      <c r="E3" s="9">
        <f>'Jones Model'!G30+('Jones Model'!G44-'Jones Model'!F44)</f>
        <v>491.90559999999999</v>
      </c>
      <c r="F3" s="9">
        <f>'Jones Model'!H30+('Jones Model'!H44-'Jones Model'!G44)</f>
        <v>593.92671999999993</v>
      </c>
      <c r="G3" s="9">
        <f>'Jones Model'!I30+('Jones Model'!I44-'Jones Model'!H44)</f>
        <v>716.35206399999993</v>
      </c>
    </row>
    <row r="4" spans="1:9" x14ac:dyDescent="0.2">
      <c r="A4" t="s">
        <v>34</v>
      </c>
      <c r="B4" s="31">
        <f t="shared" ref="B4:G4" si="0">B22</f>
        <v>35</v>
      </c>
      <c r="C4" s="9">
        <f t="shared" si="0"/>
        <v>38.360000000000014</v>
      </c>
      <c r="D4" s="9">
        <f t="shared" si="0"/>
        <v>42.391999999999996</v>
      </c>
      <c r="E4" s="9">
        <f t="shared" si="0"/>
        <v>47.230399999999975</v>
      </c>
      <c r="F4" s="9">
        <f t="shared" si="0"/>
        <v>53.036479999999983</v>
      </c>
      <c r="G4" s="9">
        <f t="shared" si="0"/>
        <v>60.003776000000016</v>
      </c>
    </row>
    <row r="5" spans="1:9" x14ac:dyDescent="0.2">
      <c r="A5" s="2" t="s">
        <v>33</v>
      </c>
      <c r="B5" s="32">
        <f t="shared" ref="B5:G5" si="1">B2-B3-B4</f>
        <v>112</v>
      </c>
      <c r="C5" s="11">
        <f t="shared" si="1"/>
        <v>134.39999999999975</v>
      </c>
      <c r="D5" s="11">
        <f t="shared" si="1"/>
        <v>161.27999999999997</v>
      </c>
      <c r="E5" s="11">
        <f t="shared" si="1"/>
        <v>193.53600000000006</v>
      </c>
      <c r="F5" s="11">
        <f t="shared" si="1"/>
        <v>232.24319999999966</v>
      </c>
      <c r="G5" s="11">
        <f t="shared" si="1"/>
        <v>278.69183999999973</v>
      </c>
    </row>
    <row r="6" spans="1:9" x14ac:dyDescent="0.2">
      <c r="A6" t="s">
        <v>36</v>
      </c>
      <c r="B6" s="31"/>
      <c r="C6" s="9">
        <f>C5*C21</f>
        <v>47.039999999999907</v>
      </c>
      <c r="D6" s="9">
        <f>D5*D21</f>
        <v>56.447999999999986</v>
      </c>
      <c r="E6" s="9">
        <f>E5*E21</f>
        <v>67.737600000000015</v>
      </c>
      <c r="F6" s="9">
        <f>F5*F21</f>
        <v>81.285119999999878</v>
      </c>
      <c r="G6" s="9">
        <f>G5*G21</f>
        <v>97.542143999999894</v>
      </c>
    </row>
    <row r="7" spans="1:9" x14ac:dyDescent="0.2">
      <c r="A7" s="2" t="s">
        <v>38</v>
      </c>
      <c r="B7" s="33"/>
      <c r="C7" s="11">
        <f>C5-C6</f>
        <v>87.359999999999843</v>
      </c>
      <c r="D7" s="11">
        <f>D5-D6</f>
        <v>104.83199999999999</v>
      </c>
      <c r="E7" s="11">
        <f>E5-E6</f>
        <v>125.79840000000004</v>
      </c>
      <c r="F7" s="11">
        <f>F5-F6</f>
        <v>150.95807999999977</v>
      </c>
      <c r="G7" s="11">
        <f>G5-G6</f>
        <v>181.14969599999984</v>
      </c>
    </row>
    <row r="8" spans="1:9" x14ac:dyDescent="0.2">
      <c r="A8" t="s">
        <v>39</v>
      </c>
      <c r="B8" s="34"/>
      <c r="C8" s="9">
        <f t="shared" ref="C8:G9" si="2">C22</f>
        <v>38.360000000000014</v>
      </c>
      <c r="D8" s="9">
        <f t="shared" si="2"/>
        <v>42.391999999999996</v>
      </c>
      <c r="E8" s="9">
        <f t="shared" si="2"/>
        <v>47.230399999999975</v>
      </c>
      <c r="F8" s="9">
        <f t="shared" si="2"/>
        <v>53.036479999999983</v>
      </c>
      <c r="G8" s="9">
        <f t="shared" si="2"/>
        <v>60.003776000000016</v>
      </c>
    </row>
    <row r="9" spans="1:9" x14ac:dyDescent="0.2">
      <c r="A9" t="s">
        <v>46</v>
      </c>
      <c r="B9" s="34"/>
      <c r="C9" s="9">
        <f t="shared" si="2"/>
        <v>50.399999999999977</v>
      </c>
      <c r="D9" s="9">
        <f t="shared" si="2"/>
        <v>60.480000000000018</v>
      </c>
      <c r="E9" s="9">
        <f t="shared" si="2"/>
        <v>72.575999999999965</v>
      </c>
      <c r="F9" s="9">
        <f t="shared" si="2"/>
        <v>87.091200000000015</v>
      </c>
      <c r="G9" s="9">
        <f t="shared" si="2"/>
        <v>104.50944000000004</v>
      </c>
    </row>
    <row r="10" spans="1:9" x14ac:dyDescent="0.2">
      <c r="A10" t="s">
        <v>47</v>
      </c>
      <c r="B10" s="34"/>
      <c r="C10" s="9">
        <f>C30</f>
        <v>101.80000000000018</v>
      </c>
      <c r="D10" s="9">
        <f>D30</f>
        <v>122.15999999999997</v>
      </c>
      <c r="E10" s="9">
        <f>E30</f>
        <v>146.59199999999964</v>
      </c>
      <c r="F10" s="9">
        <f>F30</f>
        <v>175.9104000000001</v>
      </c>
      <c r="G10" s="9">
        <f>G30</f>
        <v>211.09248000000025</v>
      </c>
    </row>
    <row r="11" spans="1:9" ht="16" thickBot="1" x14ac:dyDescent="0.25">
      <c r="A11" s="7" t="s">
        <v>48</v>
      </c>
      <c r="B11" s="35"/>
      <c r="C11" s="14">
        <f>C7+C8-C9-C10</f>
        <v>-26.480000000000302</v>
      </c>
      <c r="D11" s="14">
        <f>D7+D8-D9-D10</f>
        <v>-35.415999999999997</v>
      </c>
      <c r="E11" s="14">
        <f>E7+E8-E9-E10</f>
        <v>-46.13919999999959</v>
      </c>
      <c r="F11" s="14">
        <f>F7+F8-F9-F10</f>
        <v>-59.007040000000359</v>
      </c>
      <c r="G11" s="14">
        <f>G7+G8-G9-G10</f>
        <v>-74.44844800000044</v>
      </c>
    </row>
    <row r="12" spans="1:9" ht="16" thickTop="1" x14ac:dyDescent="0.2">
      <c r="A12" t="s">
        <v>51</v>
      </c>
      <c r="F12" s="12">
        <f>G11/(B32-B31)</f>
        <v>-930.60560000000544</v>
      </c>
    </row>
    <row r="13" spans="1:9" x14ac:dyDescent="0.2">
      <c r="A13" s="1" t="s">
        <v>52</v>
      </c>
      <c r="B13" s="1"/>
      <c r="C13" s="23">
        <f>SUM(C11:C12)</f>
        <v>-26.480000000000302</v>
      </c>
      <c r="D13" s="23">
        <f>SUM(D11:D12)</f>
        <v>-35.415999999999997</v>
      </c>
      <c r="E13" s="23">
        <f>SUM(E11:E12)</f>
        <v>-46.13919999999959</v>
      </c>
      <c r="F13" s="23">
        <f>SUM(F11:F12)</f>
        <v>-989.61264000000574</v>
      </c>
    </row>
    <row r="14" spans="1:9" x14ac:dyDescent="0.2">
      <c r="A14" t="s">
        <v>54</v>
      </c>
      <c r="B14" s="13">
        <f>NPV(B32,C13:F13)</f>
        <v>-763.92596134144208</v>
      </c>
    </row>
    <row r="15" spans="1:9" x14ac:dyDescent="0.2">
      <c r="A15" t="s">
        <v>53</v>
      </c>
      <c r="B15" s="10">
        <f>'Jones Model'!D52+'Jones Model'!D54</f>
        <v>158</v>
      </c>
    </row>
    <row r="16" spans="1:9" x14ac:dyDescent="0.2">
      <c r="A16" t="s">
        <v>55</v>
      </c>
      <c r="B16" s="10">
        <f>'Jones Model'!D39</f>
        <v>23</v>
      </c>
    </row>
    <row r="17" spans="1:7" ht="16" thickBot="1" x14ac:dyDescent="0.25">
      <c r="A17" s="28" t="s">
        <v>56</v>
      </c>
      <c r="B17" s="29">
        <f>B14-B15+B16</f>
        <v>-898.92596134144208</v>
      </c>
    </row>
    <row r="18" spans="1:7" ht="16" thickTop="1" x14ac:dyDescent="0.2">
      <c r="B18" s="13"/>
    </row>
    <row r="19" spans="1:7" x14ac:dyDescent="0.2">
      <c r="B19" s="13"/>
    </row>
    <row r="20" spans="1:7" ht="16" thickBot="1" x14ac:dyDescent="0.25">
      <c r="B20" s="13"/>
    </row>
    <row r="21" spans="1:7" x14ac:dyDescent="0.2">
      <c r="A21" s="16" t="s">
        <v>37</v>
      </c>
      <c r="B21" s="21">
        <v>0.35</v>
      </c>
      <c r="C21" s="20">
        <v>0.35</v>
      </c>
      <c r="D21" s="20">
        <v>0.35</v>
      </c>
      <c r="E21" s="20">
        <v>0.35</v>
      </c>
      <c r="F21" s="20">
        <v>0.35</v>
      </c>
      <c r="G21" s="22">
        <v>0.35</v>
      </c>
    </row>
    <row r="22" spans="1:7" x14ac:dyDescent="0.2">
      <c r="A22" s="17" t="s">
        <v>25</v>
      </c>
      <c r="B22" s="31">
        <f>-('Jones Model'!D44-'Jones Model'!C44)</f>
        <v>35</v>
      </c>
      <c r="C22" s="9">
        <f>-('Jones Model'!E44-'Jones Model'!D44)</f>
        <v>38.360000000000014</v>
      </c>
      <c r="D22" s="9">
        <f>-('Jones Model'!F44-'Jones Model'!E44)</f>
        <v>42.391999999999996</v>
      </c>
      <c r="E22" s="9">
        <f>-('Jones Model'!G44-'Jones Model'!F44)</f>
        <v>47.230399999999975</v>
      </c>
      <c r="F22" s="9">
        <f>-('Jones Model'!H44-'Jones Model'!G44)</f>
        <v>53.036479999999983</v>
      </c>
      <c r="G22" s="36">
        <f>-('Jones Model'!I44-'Jones Model'!H44)</f>
        <v>60.003776000000016</v>
      </c>
    </row>
    <row r="23" spans="1:7" x14ac:dyDescent="0.2">
      <c r="A23" s="17" t="s">
        <v>40</v>
      </c>
      <c r="B23" s="31">
        <f>'Jones Model'!D43-'Jones Model'!C43</f>
        <v>50</v>
      </c>
      <c r="C23" s="9">
        <f>'Jones Model'!E43-'Jones Model'!D43</f>
        <v>50.399999999999977</v>
      </c>
      <c r="D23" s="9">
        <f>'Jones Model'!F43-'Jones Model'!E43</f>
        <v>60.480000000000018</v>
      </c>
      <c r="E23" s="9">
        <f>'Jones Model'!G43-'Jones Model'!F43</f>
        <v>72.575999999999965</v>
      </c>
      <c r="F23" s="9">
        <f>'Jones Model'!H43-'Jones Model'!G43</f>
        <v>87.091200000000015</v>
      </c>
      <c r="G23" s="36">
        <f>'Jones Model'!I43-'Jones Model'!H43</f>
        <v>104.50944000000004</v>
      </c>
    </row>
    <row r="24" spans="1:7" x14ac:dyDescent="0.2">
      <c r="A24" s="24" t="s">
        <v>41</v>
      </c>
      <c r="B24" s="34"/>
      <c r="C24" s="37"/>
      <c r="D24" s="37"/>
      <c r="E24" s="37"/>
      <c r="F24" s="37"/>
      <c r="G24" s="38"/>
    </row>
    <row r="25" spans="1:7" x14ac:dyDescent="0.2">
      <c r="A25" s="17" t="s">
        <v>7</v>
      </c>
      <c r="B25" s="31">
        <f>'Jones Model'!D40</f>
        <v>264</v>
      </c>
      <c r="C25" s="9">
        <f>'Jones Model'!E40</f>
        <v>316.8</v>
      </c>
      <c r="D25" s="9">
        <f>'Jones Model'!F40</f>
        <v>380.16</v>
      </c>
      <c r="E25" s="9">
        <f>'Jones Model'!G40</f>
        <v>456.19200000000001</v>
      </c>
      <c r="F25" s="9">
        <f>'Jones Model'!H40</f>
        <v>547.43040000000008</v>
      </c>
      <c r="G25" s="36">
        <f>'Jones Model'!I40</f>
        <v>656.91647999999998</v>
      </c>
    </row>
    <row r="26" spans="1:7" x14ac:dyDescent="0.2">
      <c r="A26" s="17" t="s">
        <v>42</v>
      </c>
      <c r="B26" s="31">
        <f>'Jones Model'!D41</f>
        <v>379</v>
      </c>
      <c r="C26" s="9">
        <f>'Jones Model'!E41</f>
        <v>454.80000000000013</v>
      </c>
      <c r="D26" s="9">
        <f>'Jones Model'!F41</f>
        <v>545.76</v>
      </c>
      <c r="E26" s="9">
        <f>'Jones Model'!G41</f>
        <v>654.91199999999992</v>
      </c>
      <c r="F26" s="9">
        <f>'Jones Model'!H41</f>
        <v>785.89440000000002</v>
      </c>
      <c r="G26" s="36">
        <f>'Jones Model'!I41</f>
        <v>943.07328000000007</v>
      </c>
    </row>
    <row r="27" spans="1:7" x14ac:dyDescent="0.2">
      <c r="A27" s="17" t="s">
        <v>13</v>
      </c>
      <c r="B27" s="31">
        <f>'Jones Model'!D49</f>
        <v>120</v>
      </c>
      <c r="C27" s="9">
        <f>'Jones Model'!E49</f>
        <v>144.00000000000003</v>
      </c>
      <c r="D27" s="9">
        <f>'Jones Model'!F49</f>
        <v>172.8</v>
      </c>
      <c r="E27" s="9">
        <f>'Jones Model'!G49</f>
        <v>207.35999999999999</v>
      </c>
      <c r="F27" s="9">
        <f>'Jones Model'!H49</f>
        <v>248.83200000000002</v>
      </c>
      <c r="G27" s="36">
        <f>'Jones Model'!I49</f>
        <v>298.59839999999997</v>
      </c>
    </row>
    <row r="28" spans="1:7" x14ac:dyDescent="0.2">
      <c r="A28" s="17" t="s">
        <v>43</v>
      </c>
      <c r="B28" s="31">
        <f>'Jones Model'!D51</f>
        <v>14</v>
      </c>
      <c r="C28" s="9">
        <f>'Jones Model'!E51</f>
        <v>16.8</v>
      </c>
      <c r="D28" s="9">
        <f>'Jones Model'!F51</f>
        <v>20.16</v>
      </c>
      <c r="E28" s="9">
        <f>'Jones Model'!G51</f>
        <v>24.192</v>
      </c>
      <c r="F28" s="9">
        <f>'Jones Model'!H51</f>
        <v>29.030399999999997</v>
      </c>
      <c r="G28" s="36">
        <f>'Jones Model'!I51</f>
        <v>34.836479999999995</v>
      </c>
    </row>
    <row r="29" spans="1:7" x14ac:dyDescent="0.2">
      <c r="A29" s="17" t="s">
        <v>44</v>
      </c>
      <c r="B29" s="31">
        <f t="shared" ref="B29:G29" si="3">B25+B26-B27-B28</f>
        <v>509</v>
      </c>
      <c r="C29" s="9">
        <f t="shared" si="3"/>
        <v>610.80000000000018</v>
      </c>
      <c r="D29" s="9">
        <f t="shared" si="3"/>
        <v>732.96000000000015</v>
      </c>
      <c r="E29" s="9">
        <f t="shared" si="3"/>
        <v>879.55199999999979</v>
      </c>
      <c r="F29" s="9">
        <f t="shared" si="3"/>
        <v>1055.4623999999999</v>
      </c>
      <c r="G29" s="36">
        <f t="shared" si="3"/>
        <v>1266.5548800000001</v>
      </c>
    </row>
    <row r="30" spans="1:7" x14ac:dyDescent="0.2">
      <c r="A30" s="24" t="s">
        <v>45</v>
      </c>
      <c r="B30" s="30"/>
      <c r="C30" s="39">
        <f>C29-B29</f>
        <v>101.80000000000018</v>
      </c>
      <c r="D30" s="39">
        <f>D29-C29</f>
        <v>122.15999999999997</v>
      </c>
      <c r="E30" s="39">
        <f>E29-D29</f>
        <v>146.59199999999964</v>
      </c>
      <c r="F30" s="39">
        <f>F29-E29</f>
        <v>175.9104000000001</v>
      </c>
      <c r="G30" s="40">
        <f>G29-F29</f>
        <v>211.09248000000025</v>
      </c>
    </row>
    <row r="31" spans="1:7" x14ac:dyDescent="0.2">
      <c r="A31" s="24" t="s">
        <v>49</v>
      </c>
      <c r="B31" s="41">
        <v>0.02</v>
      </c>
      <c r="G31" s="25"/>
    </row>
    <row r="32" spans="1:7" ht="16" thickBot="1" x14ac:dyDescent="0.25">
      <c r="A32" s="42" t="s">
        <v>50</v>
      </c>
      <c r="B32" s="43">
        <v>0.1</v>
      </c>
      <c r="C32" s="26"/>
      <c r="D32" s="26"/>
      <c r="E32" s="26"/>
      <c r="F32" s="26"/>
      <c r="G32" s="27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P62"/>
  <sheetViews>
    <sheetView zoomScaleNormal="100" workbookViewId="0">
      <selection activeCell="M44" sqref="M44"/>
    </sheetView>
  </sheetViews>
  <sheetFormatPr baseColWidth="10" defaultColWidth="8.83203125" defaultRowHeight="15" x14ac:dyDescent="0.2"/>
  <cols>
    <col min="1" max="1" width="26.33203125" bestFit="1" customWidth="1"/>
    <col min="2" max="3" width="10.1640625" bestFit="1" customWidth="1"/>
    <col min="4" max="4" width="10.83203125" bestFit="1" customWidth="1"/>
    <col min="5" max="6" width="9.5" bestFit="1" customWidth="1"/>
    <col min="7" max="9" width="9.6640625" bestFit="1" customWidth="1"/>
    <col min="13" max="13" width="9.5" bestFit="1" customWidth="1"/>
  </cols>
  <sheetData>
    <row r="2" spans="12:13" x14ac:dyDescent="0.2">
      <c r="L2" t="s">
        <v>78</v>
      </c>
      <c r="M2" t="s">
        <v>77</v>
      </c>
    </row>
    <row r="18" spans="10:16" x14ac:dyDescent="0.2">
      <c r="J18" t="s">
        <v>75</v>
      </c>
      <c r="K18" s="10">
        <f>'Jones Model'!D54+'Jones Model'!D52+'Jones Model'!D50</f>
        <v>407</v>
      </c>
      <c r="L18">
        <f>K18/K19</f>
        <v>1.6748971193415638</v>
      </c>
      <c r="M18" s="10">
        <f ca="1">'Jones Model'!I50+'Jones Model'!I52+'Jones Model'!I54</f>
        <v>1001.7549498532832</v>
      </c>
      <c r="N18">
        <f ca="1">M18/M19</f>
        <v>1.7450192425282609</v>
      </c>
    </row>
    <row r="19" spans="10:16" s="8" customFormat="1" x14ac:dyDescent="0.2">
      <c r="J19" s="8" t="s">
        <v>76</v>
      </c>
      <c r="K19" s="48">
        <f>'Jones Model'!D58</f>
        <v>243</v>
      </c>
      <c r="M19" s="48">
        <f ca="1">'Jones Model'!I58</f>
        <v>574.06527414671893</v>
      </c>
    </row>
    <row r="24" spans="10:16" x14ac:dyDescent="0.2">
      <c r="K24" s="10">
        <f ca="1">'Jones Model'!I50</f>
        <v>963.75494985328316</v>
      </c>
      <c r="L24" s="50">
        <v>0.05</v>
      </c>
      <c r="M24" s="50">
        <v>0.1</v>
      </c>
      <c r="N24" s="50">
        <v>0.15</v>
      </c>
      <c r="O24" s="50">
        <v>0.2</v>
      </c>
      <c r="P24" s="50">
        <v>0.25</v>
      </c>
    </row>
    <row r="25" spans="10:16" x14ac:dyDescent="0.2">
      <c r="K25">
        <v>10</v>
      </c>
    </row>
    <row r="26" spans="10:16" x14ac:dyDescent="0.2">
      <c r="K26">
        <v>25</v>
      </c>
    </row>
    <row r="58" spans="1:3" x14ac:dyDescent="0.2">
      <c r="A58" t="s">
        <v>58</v>
      </c>
    </row>
    <row r="59" spans="1:3" x14ac:dyDescent="0.2">
      <c r="A59" t="s">
        <v>72</v>
      </c>
      <c r="C59" s="10">
        <f>'Jones Model'!B41</f>
        <v>243</v>
      </c>
    </row>
    <row r="60" spans="1:3" x14ac:dyDescent="0.2">
      <c r="A60" t="s">
        <v>73</v>
      </c>
      <c r="C60" s="10">
        <f>'Jones Model'!C26</f>
        <v>1566.3265306122448</v>
      </c>
    </row>
    <row r="61" spans="1:3" x14ac:dyDescent="0.2">
      <c r="A61" s="44" t="s">
        <v>74</v>
      </c>
      <c r="B61" s="44"/>
      <c r="C61" s="45">
        <f>'Jones Model'!C41</f>
        <v>278</v>
      </c>
    </row>
    <row r="62" spans="1:3" x14ac:dyDescent="0.2">
      <c r="A62" t="s">
        <v>58</v>
      </c>
      <c r="C62" s="10">
        <f>C59+C60-C61</f>
        <v>1531.3265306122448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Jones Model</vt:lpstr>
      <vt:lpstr>Q2</vt:lpstr>
      <vt:lpstr>Q3</vt:lpstr>
      <vt:lpstr>Q4</vt:lpstr>
      <vt:lpstr>Q5</vt:lpstr>
      <vt:lpstr>Q6 a) &amp; b)</vt:lpstr>
      <vt:lpstr>Q6 c)</vt:lpstr>
      <vt:lpstr>ROIC</vt:lpstr>
      <vt:lpstr>ROIC supp</vt:lpstr>
      <vt:lpstr>Sheet3</vt:lpstr>
      <vt:lpstr>Sheet2</vt:lpstr>
      <vt:lpstr>Sheet1</vt:lpstr>
      <vt:lpstr>FCF</vt:lpstr>
      <vt:lpstr>Balance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Tien Nguyen</dc:creator>
  <cp:keywords/>
  <dc:description/>
  <cp:lastModifiedBy>Tien D Nguyen</cp:lastModifiedBy>
  <cp:lastPrinted>2015-01-30T18:28:54Z</cp:lastPrinted>
  <dcterms:created xsi:type="dcterms:W3CDTF">2014-10-07T18:35:40Z</dcterms:created>
  <dcterms:modified xsi:type="dcterms:W3CDTF">2024-08-29T01:42:30Z</dcterms:modified>
  <cp:category/>
</cp:coreProperties>
</file>